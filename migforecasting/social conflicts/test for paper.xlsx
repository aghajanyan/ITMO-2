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error (soc-eco)" sheetId="1" r:id="rId1"/>
    <sheet name="error (soc-eco + dem)" sheetId="4" r:id="rId2"/>
    <sheet name="error (dem)" sheetId="3" r:id="rId3"/>
    <sheet name="signif" sheetId="2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U29" i="3" l="1"/>
  <c r="AT29" i="3"/>
  <c r="AU28" i="3"/>
  <c r="AT28" i="3"/>
  <c r="AS7" i="3"/>
  <c r="AS8" i="3" s="1"/>
  <c r="AS9" i="3" s="1"/>
  <c r="AS10" i="3" s="1"/>
  <c r="AS11" i="3" s="1"/>
  <c r="AS12" i="3" s="1"/>
  <c r="AS13" i="3" s="1"/>
  <c r="AS14" i="3" s="1"/>
  <c r="AS15" i="3" s="1"/>
  <c r="AS16" i="3" s="1"/>
  <c r="AS17" i="3" s="1"/>
  <c r="AS18" i="3" s="1"/>
  <c r="AS19" i="3" s="1"/>
  <c r="AS20" i="3" s="1"/>
  <c r="AS21" i="3" s="1"/>
  <c r="AS22" i="3" s="1"/>
  <c r="AS23" i="3" s="1"/>
  <c r="AS24" i="3" s="1"/>
  <c r="AS25" i="3" s="1"/>
  <c r="AQ29" i="3"/>
  <c r="AP29" i="3"/>
  <c r="AQ28" i="3"/>
  <c r="AP28" i="3"/>
  <c r="AO7" i="3"/>
  <c r="AO8" i="3" s="1"/>
  <c r="AO9" i="3" s="1"/>
  <c r="AO10" i="3" s="1"/>
  <c r="AO11" i="3" s="1"/>
  <c r="AO12" i="3" s="1"/>
  <c r="AO13" i="3" s="1"/>
  <c r="AO14" i="3" s="1"/>
  <c r="AO15" i="3" s="1"/>
  <c r="AO16" i="3" s="1"/>
  <c r="AO17" i="3" s="1"/>
  <c r="AO18" i="3" s="1"/>
  <c r="AO19" i="3" s="1"/>
  <c r="AO20" i="3" s="1"/>
  <c r="AO21" i="3" s="1"/>
  <c r="AO22" i="3" s="1"/>
  <c r="AO23" i="3" s="1"/>
  <c r="AO24" i="3" s="1"/>
  <c r="AO25" i="3" s="1"/>
  <c r="AM29" i="3"/>
  <c r="AL29" i="3"/>
  <c r="AM28" i="3"/>
  <c r="AL28" i="3"/>
  <c r="AK7" i="3"/>
  <c r="AK8" i="3" s="1"/>
  <c r="AK9" i="3" s="1"/>
  <c r="AK10" i="3" s="1"/>
  <c r="AK11" i="3" s="1"/>
  <c r="AK12" i="3" s="1"/>
  <c r="AK13" i="3" s="1"/>
  <c r="AK14" i="3" s="1"/>
  <c r="AK15" i="3" s="1"/>
  <c r="AK16" i="3" s="1"/>
  <c r="AK17" i="3" s="1"/>
  <c r="AK18" i="3" s="1"/>
  <c r="AK19" i="3" s="1"/>
  <c r="AK20" i="3" s="1"/>
  <c r="AK21" i="3" s="1"/>
  <c r="AK22" i="3" s="1"/>
  <c r="AK23" i="3" s="1"/>
  <c r="AK24" i="3" s="1"/>
  <c r="AK25" i="3" s="1"/>
  <c r="AI29" i="3" l="1"/>
  <c r="AH29" i="3"/>
  <c r="AI28" i="3"/>
  <c r="AH28" i="3"/>
  <c r="AG7" i="3"/>
  <c r="AG8" i="3" s="1"/>
  <c r="AG9" i="3" s="1"/>
  <c r="AG10" i="3" s="1"/>
  <c r="AG11" i="3" s="1"/>
  <c r="AG12" i="3" s="1"/>
  <c r="AG13" i="3" s="1"/>
  <c r="AG14" i="3" s="1"/>
  <c r="AG15" i="3" s="1"/>
  <c r="AG16" i="3" s="1"/>
  <c r="AG17" i="3" s="1"/>
  <c r="AG18" i="3" s="1"/>
  <c r="AG19" i="3" s="1"/>
  <c r="AG20" i="3" s="1"/>
  <c r="AG21" i="3" s="1"/>
  <c r="AG22" i="3" s="1"/>
  <c r="AG23" i="3" s="1"/>
  <c r="AG24" i="3" s="1"/>
  <c r="AG25" i="3" s="1"/>
  <c r="AD29" i="3"/>
  <c r="AC29" i="3"/>
  <c r="AD28" i="3"/>
  <c r="AC28" i="3"/>
  <c r="AB7" i="3"/>
  <c r="AB8" i="3" s="1"/>
  <c r="AB9" i="3" s="1"/>
  <c r="AB10" i="3" s="1"/>
  <c r="AB11" i="3" s="1"/>
  <c r="AB12" i="3" s="1"/>
  <c r="AB13" i="3" s="1"/>
  <c r="AB14" i="3" s="1"/>
  <c r="AB15" i="3" s="1"/>
  <c r="AB16" i="3" s="1"/>
  <c r="AB17" i="3" s="1"/>
  <c r="AB18" i="3" s="1"/>
  <c r="AB19" i="3" s="1"/>
  <c r="AB20" i="3" s="1"/>
  <c r="AB21" i="3" s="1"/>
  <c r="AB22" i="3" s="1"/>
  <c r="AB23" i="3" s="1"/>
  <c r="AB24" i="3" s="1"/>
  <c r="AB25" i="3" s="1"/>
  <c r="Q57" i="3"/>
  <c r="Q58" i="3"/>
  <c r="R58" i="3"/>
  <c r="R57" i="3"/>
  <c r="N56" i="1"/>
  <c r="N57" i="1"/>
  <c r="O57" i="1"/>
  <c r="O56" i="1"/>
  <c r="I56" i="1"/>
  <c r="I57" i="1"/>
  <c r="J57" i="1"/>
  <c r="J56" i="1"/>
  <c r="AE28" i="1" l="1"/>
  <c r="AD28" i="1"/>
  <c r="AE27" i="1"/>
  <c r="AD27" i="1"/>
  <c r="AC6" i="1"/>
  <c r="AC7" i="1" s="1"/>
  <c r="AC8" i="1" s="1"/>
  <c r="AC9" i="1" s="1"/>
  <c r="AC10" i="1" s="1"/>
  <c r="AC11" i="1" s="1"/>
  <c r="AC12" i="1" s="1"/>
  <c r="AC13" i="1" s="1"/>
  <c r="AC14" i="1" s="1"/>
  <c r="AC15" i="1" s="1"/>
  <c r="AC16" i="1" s="1"/>
  <c r="AC17" i="1" s="1"/>
  <c r="AC18" i="1" s="1"/>
  <c r="AC19" i="1" s="1"/>
  <c r="AC20" i="1" s="1"/>
  <c r="AC21" i="1" s="1"/>
  <c r="AC22" i="1" s="1"/>
  <c r="AC23" i="1" s="1"/>
  <c r="AC24" i="1" s="1"/>
  <c r="AA28" i="1" l="1"/>
  <c r="Z28" i="1"/>
  <c r="AA27" i="1"/>
  <c r="Z27" i="1"/>
  <c r="Y6" i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W27" i="1"/>
  <c r="W28" i="1"/>
  <c r="V28" i="1"/>
  <c r="V27" i="1"/>
  <c r="U6" i="1"/>
  <c r="U7" i="1" s="1"/>
  <c r="U8" i="1" s="1"/>
  <c r="U9" i="1" s="1"/>
  <c r="U10" i="1" s="1"/>
  <c r="U11" i="1" s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R27" i="1" l="1"/>
  <c r="R28" i="1"/>
  <c r="S28" i="1"/>
  <c r="S27" i="1"/>
  <c r="Q6" i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M6" i="1" l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AJ57" i="1" l="1"/>
  <c r="AI57" i="1"/>
  <c r="AJ56" i="1"/>
  <c r="AI56" i="1"/>
  <c r="AH6" i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L58" i="3" l="1"/>
  <c r="K58" i="3"/>
  <c r="L57" i="3"/>
  <c r="K57" i="3"/>
  <c r="J7" i="3"/>
  <c r="J8" i="3" s="1"/>
  <c r="J9" i="3" s="1"/>
  <c r="J10" i="3" s="1"/>
  <c r="J11" i="3" s="1"/>
  <c r="J12" i="3" s="1"/>
  <c r="J13" i="3" s="1"/>
  <c r="J14" i="3" s="1"/>
  <c r="J15" i="3" s="1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52" i="3" s="1"/>
  <c r="J53" i="3" s="1"/>
  <c r="J54" i="3" s="1"/>
  <c r="J55" i="3" s="1"/>
  <c r="X58" i="3" l="1"/>
  <c r="W58" i="3"/>
  <c r="X57" i="3"/>
  <c r="W57" i="3"/>
  <c r="V7" i="3"/>
  <c r="V8" i="3" s="1"/>
  <c r="V9" i="3" s="1"/>
  <c r="V10" i="3" s="1"/>
  <c r="V11" i="3" s="1"/>
  <c r="V12" i="3" s="1"/>
  <c r="V13" i="3" s="1"/>
  <c r="V14" i="3" s="1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E58" i="4" l="1"/>
  <c r="D58" i="4"/>
  <c r="E57" i="4"/>
  <c r="D57" i="4"/>
  <c r="C8" i="4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7" i="4"/>
  <c r="P7" i="3" l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F58" i="3" l="1"/>
  <c r="E58" i="3"/>
  <c r="F57" i="3"/>
  <c r="E57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AT57" i="1" l="1"/>
  <c r="AS57" i="1"/>
  <c r="AT56" i="1"/>
  <c r="AS56" i="1"/>
  <c r="AR6" i="1"/>
  <c r="AR7" i="1" s="1"/>
  <c r="AR8" i="1" s="1"/>
  <c r="AR9" i="1" s="1"/>
  <c r="AR10" i="1" s="1"/>
  <c r="AR11" i="1" s="1"/>
  <c r="AR12" i="1" s="1"/>
  <c r="AR13" i="1" s="1"/>
  <c r="AR14" i="1" s="1"/>
  <c r="AR15" i="1" s="1"/>
  <c r="AR16" i="1" s="1"/>
  <c r="AR17" i="1" s="1"/>
  <c r="AR18" i="1" s="1"/>
  <c r="AR19" i="1" s="1"/>
  <c r="AR20" i="1" s="1"/>
  <c r="AR21" i="1" s="1"/>
  <c r="AR22" i="1" s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O57" i="1" l="1"/>
  <c r="AN57" i="1"/>
  <c r="AO56" i="1"/>
  <c r="AN56" i="1"/>
  <c r="AM6" i="1"/>
  <c r="AM7" i="1" s="1"/>
  <c r="AM8" i="1" s="1"/>
  <c r="AM9" i="1" s="1"/>
  <c r="AM10" i="1" s="1"/>
  <c r="AM11" i="1" s="1"/>
  <c r="AM12" i="1" s="1"/>
  <c r="AM13" i="1" s="1"/>
  <c r="AM14" i="1" s="1"/>
  <c r="AM15" i="1" s="1"/>
  <c r="AM16" i="1" s="1"/>
  <c r="AM17" i="1" s="1"/>
  <c r="AM18" i="1" s="1"/>
  <c r="AM19" i="1" s="1"/>
  <c r="AM20" i="1" s="1"/>
  <c r="AM21" i="1" s="1"/>
  <c r="AM22" i="1" s="1"/>
  <c r="AM23" i="1" s="1"/>
  <c r="AM24" i="1" s="1"/>
  <c r="AM25" i="1" s="1"/>
  <c r="AM26" i="1" s="1"/>
  <c r="AM27" i="1" s="1"/>
  <c r="AM28" i="1" s="1"/>
  <c r="AM29" i="1" s="1"/>
  <c r="AM30" i="1" s="1"/>
  <c r="AM31" i="1" s="1"/>
  <c r="AM32" i="1" s="1"/>
  <c r="AM33" i="1" s="1"/>
  <c r="AM34" i="1" s="1"/>
  <c r="AM35" i="1" s="1"/>
  <c r="AM36" i="1" s="1"/>
  <c r="AM37" i="1" s="1"/>
  <c r="AM38" i="1" s="1"/>
  <c r="AM39" i="1" s="1"/>
  <c r="AM40" i="1" s="1"/>
  <c r="AM41" i="1" s="1"/>
  <c r="AM42" i="1" s="1"/>
  <c r="AM43" i="1" s="1"/>
  <c r="AM44" i="1" s="1"/>
  <c r="AM45" i="1" s="1"/>
  <c r="AM46" i="1" s="1"/>
  <c r="AM47" i="1" s="1"/>
  <c r="AM48" i="1" s="1"/>
  <c r="AM49" i="1" s="1"/>
  <c r="AM50" i="1" s="1"/>
  <c r="AM51" i="1" s="1"/>
  <c r="AM52" i="1" s="1"/>
  <c r="AM53" i="1" s="1"/>
  <c r="AM54" i="1" s="1"/>
  <c r="H6" i="1" l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E57" i="1" l="1"/>
  <c r="D57" i="1"/>
  <c r="E56" i="1"/>
  <c r="D56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</calcChain>
</file>

<file path=xl/sharedStrings.xml><?xml version="1.0" encoding="utf-8"?>
<sst xmlns="http://schemas.openxmlformats.org/spreadsheetml/2006/main" count="221" uniqueCount="80">
  <si>
    <t>train (R2)</t>
  </si>
  <si>
    <t>test (R2)</t>
  </si>
  <si>
    <t>avg</t>
  </si>
  <si>
    <t>SD</t>
  </si>
  <si>
    <t xml:space="preserve">Random Forest-100 </t>
  </si>
  <si>
    <t>(superdataset-24-alltime-clust (IQR)-normbysoul-f</t>
  </si>
  <si>
    <t xml:space="preserve"> (conflict-21, top300, formodel).csv)</t>
  </si>
  <si>
    <t>features</t>
  </si>
  <si>
    <t>avgemployers</t>
  </si>
  <si>
    <t>avgsalary</t>
  </si>
  <si>
    <t>shoparea</t>
  </si>
  <si>
    <t>foodseats</t>
  </si>
  <si>
    <t>retailturnover</t>
  </si>
  <si>
    <t>livarea</t>
  </si>
  <si>
    <t>sportsvenue</t>
  </si>
  <si>
    <t>servicesnum</t>
  </si>
  <si>
    <t>roadslen</t>
  </si>
  <si>
    <t>livestock</t>
  </si>
  <si>
    <t>harvest</t>
  </si>
  <si>
    <t>agrprod</t>
  </si>
  <si>
    <t>hospitals</t>
  </si>
  <si>
    <t>preschool</t>
  </si>
  <si>
    <t>factoriescap</t>
  </si>
  <si>
    <t>formodel</t>
  </si>
  <si>
    <t>formodel-2</t>
  </si>
  <si>
    <t xml:space="preserve"> (conflict-21, top300, formodel-2).csv)</t>
  </si>
  <si>
    <t>train (MAE)</t>
  </si>
  <si>
    <t>test (MAE)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</si>
  <si>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</si>
  <si>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</si>
  <si>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</si>
  <si>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</si>
  <si>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</si>
  <si>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</si>
  <si>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</si>
  <si>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</si>
  <si>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</si>
  <si>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</si>
  <si>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</si>
  <si>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</si>
  <si>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</si>
  <si>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</si>
  <si>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(avgage-superdataset-24-alltime-clust (IQR)-normbysoul-f</t>
  </si>
  <si>
    <t>avgage</t>
  </si>
  <si>
    <t>(agerow-superdataset-24-alltime-clust (IQR)-normbysoul-f</t>
  </si>
  <si>
    <t>0-4_male</t>
  </si>
  <si>
    <t>5-9_male</t>
  </si>
  <si>
    <t>10-14_male</t>
  </si>
  <si>
    <t>15-19_male</t>
  </si>
  <si>
    <t>20-24_male</t>
  </si>
  <si>
    <t>25-29_male</t>
  </si>
  <si>
    <t>30-34_male</t>
  </si>
  <si>
    <t>35-39_male</t>
  </si>
  <si>
    <t>40-44_male</t>
  </si>
  <si>
    <t>45-49_male</t>
  </si>
  <si>
    <t>50-54_male</t>
  </si>
  <si>
    <t>55-59_male</t>
  </si>
  <si>
    <t>60-64_male</t>
  </si>
  <si>
    <t>65-69_male</t>
  </si>
  <si>
    <t>0-4_female</t>
  </si>
  <si>
    <t>5-9_female</t>
  </si>
  <si>
    <t>10-14_female</t>
  </si>
  <si>
    <t>15-19_female</t>
  </si>
  <si>
    <t>20-24_female</t>
  </si>
  <si>
    <t>25-29_female</t>
  </si>
  <si>
    <t>30-34_female</t>
  </si>
  <si>
    <t>35-39_female</t>
  </si>
  <si>
    <t>40-44_female</t>
  </si>
  <si>
    <t>45-49_female</t>
  </si>
  <si>
    <t>50-54_female</t>
  </si>
  <si>
    <t>55-59_female</t>
  </si>
  <si>
    <t>60-64_female</t>
  </si>
  <si>
    <t>65-69_female</t>
  </si>
  <si>
    <t>agerow</t>
  </si>
  <si>
    <t>(ecoage-superdataset-24-alltime-clust (IQR)-normbysoul-f</t>
  </si>
  <si>
    <t xml:space="preserve"> (conflict-21, top300, formodel-2, norm11).csv)</t>
  </si>
  <si>
    <t>XGBoost</t>
  </si>
  <si>
    <t>NN (128*4-&gt;1, e=100, b=10, relu, mse)</t>
  </si>
  <si>
    <t>train (MSE)</t>
  </si>
  <si>
    <t>test (MSE)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</si>
</sst>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Border="1" applyAlignment="1">
      <alignment horizontal="center" vertical="top"/>
    </xf>
    <xf numFmtId="164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signif!$C$26</c:f>
              <c:strCache>
                <c:ptCount val="1"/>
                <c:pt idx="0">
                  <c:v>formodel-2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signif!$B$27:$B$41</c:f>
              <c:strCache>
                <c:ptCount val="15"/>
                <c:pt idx="0">
                  <c:v>livarea</c:v>
                </c:pt>
                <c:pt idx="1">
                  <c:v>avgemployers</c:v>
                </c:pt>
                <c:pt idx="2">
                  <c:v>sportsvenue</c:v>
                </c:pt>
                <c:pt idx="3">
                  <c:v>harvest</c:v>
                </c:pt>
                <c:pt idx="4">
                  <c:v>preschool</c:v>
                </c:pt>
                <c:pt idx="5">
                  <c:v>agrprod</c:v>
                </c:pt>
                <c:pt idx="6">
                  <c:v>avgsalary</c:v>
                </c:pt>
                <c:pt idx="7">
                  <c:v>factoriescap</c:v>
                </c:pt>
                <c:pt idx="8">
                  <c:v>servicesnum</c:v>
                </c:pt>
                <c:pt idx="9">
                  <c:v>shoparea</c:v>
                </c:pt>
                <c:pt idx="10">
                  <c:v>livestock</c:v>
                </c:pt>
                <c:pt idx="11">
                  <c:v>roadslen</c:v>
                </c:pt>
                <c:pt idx="12">
                  <c:v>hospitals</c:v>
                </c:pt>
                <c:pt idx="13">
                  <c:v>foodseats</c:v>
                </c:pt>
                <c:pt idx="14">
                  <c:v>retailturnover</c:v>
                </c:pt>
              </c:strCache>
            </c:strRef>
          </c:cat>
          <c:val>
            <c:numRef>
              <c:f>signif!$C$27:$C$41</c:f>
              <c:numCache>
                <c:formatCode>0.00</c:formatCode>
                <c:ptCount val="15"/>
                <c:pt idx="0">
                  <c:v>3.2349520015093267E-2</c:v>
                </c:pt>
                <c:pt idx="1">
                  <c:v>3.5839162327457257E-2</c:v>
                </c:pt>
                <c:pt idx="2">
                  <c:v>3.687169044121625E-2</c:v>
                </c:pt>
                <c:pt idx="3">
                  <c:v>3.822299269172038E-2</c:v>
                </c:pt>
                <c:pt idx="4">
                  <c:v>4.0743905516229313E-2</c:v>
                </c:pt>
                <c:pt idx="5">
                  <c:v>4.1288856968829481E-2</c:v>
                </c:pt>
                <c:pt idx="6">
                  <c:v>4.6028263868876838E-2</c:v>
                </c:pt>
                <c:pt idx="7">
                  <c:v>4.8303412065648192E-2</c:v>
                </c:pt>
                <c:pt idx="8">
                  <c:v>5.4983417701167853E-2</c:v>
                </c:pt>
                <c:pt idx="9">
                  <c:v>5.648927896701416E-2</c:v>
                </c:pt>
                <c:pt idx="10">
                  <c:v>6.5429969665446008E-2</c:v>
                </c:pt>
                <c:pt idx="11">
                  <c:v>0.1000667937501426</c:v>
                </c:pt>
                <c:pt idx="12">
                  <c:v>0.1120867822496293</c:v>
                </c:pt>
                <c:pt idx="13">
                  <c:v>0.14226226591072541</c:v>
                </c:pt>
                <c:pt idx="14">
                  <c:v>0.1490336878608037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C8-45E5-8F07-6A3B58CC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33010720"/>
        <c:axId val="33019040"/>
      </c:barChart>
      <c:catAx>
        <c:axId val="3301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19040"/>
        <c:crosses val="autoZero"/>
        <c:auto val="1"/>
        <c:lblAlgn val="ctr"/>
        <c:lblOffset val="100"/>
        <c:noMultiLvlLbl val="0"/>
      </c:catAx>
      <c:valAx>
        <c:axId val="3301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1072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signif!$P$4</c:f>
              <c:strCache>
                <c:ptCount val="1"/>
                <c:pt idx="0">
                  <c:v>agerow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signif!$O$5:$O$32</c:f>
              <c:strCache>
                <c:ptCount val="28"/>
                <c:pt idx="0">
                  <c:v>50-54_female</c:v>
                </c:pt>
                <c:pt idx="1">
                  <c:v>65-69_male</c:v>
                </c:pt>
                <c:pt idx="2">
                  <c:v>5-9_male</c:v>
                </c:pt>
                <c:pt idx="3">
                  <c:v>55-59_female</c:v>
                </c:pt>
                <c:pt idx="4">
                  <c:v>65-69_female</c:v>
                </c:pt>
                <c:pt idx="5">
                  <c:v>60-64_female</c:v>
                </c:pt>
                <c:pt idx="6">
                  <c:v>10-14_male</c:v>
                </c:pt>
                <c:pt idx="7">
                  <c:v>0-4_female</c:v>
                </c:pt>
                <c:pt idx="8">
                  <c:v>60-64_male</c:v>
                </c:pt>
                <c:pt idx="9">
                  <c:v>45-49_female</c:v>
                </c:pt>
                <c:pt idx="10">
                  <c:v>0-4_male</c:v>
                </c:pt>
                <c:pt idx="11">
                  <c:v>25-29_male</c:v>
                </c:pt>
                <c:pt idx="12">
                  <c:v>45-49_male</c:v>
                </c:pt>
                <c:pt idx="13">
                  <c:v>40-44_female</c:v>
                </c:pt>
                <c:pt idx="14">
                  <c:v>30-34_female</c:v>
                </c:pt>
                <c:pt idx="15">
                  <c:v>15-19_female</c:v>
                </c:pt>
                <c:pt idx="16">
                  <c:v>5-9_female</c:v>
                </c:pt>
                <c:pt idx="17">
                  <c:v>35-39_female</c:v>
                </c:pt>
                <c:pt idx="18">
                  <c:v>25-29_female</c:v>
                </c:pt>
                <c:pt idx="19">
                  <c:v>10-14_female</c:v>
                </c:pt>
                <c:pt idx="20">
                  <c:v>50-54_male</c:v>
                </c:pt>
                <c:pt idx="21">
                  <c:v>40-44_male</c:v>
                </c:pt>
                <c:pt idx="22">
                  <c:v>15-19_male</c:v>
                </c:pt>
                <c:pt idx="23">
                  <c:v>20-24_female</c:v>
                </c:pt>
                <c:pt idx="24">
                  <c:v>35-39_male</c:v>
                </c:pt>
                <c:pt idx="25">
                  <c:v>20-24_male</c:v>
                </c:pt>
                <c:pt idx="26">
                  <c:v>30-34_male</c:v>
                </c:pt>
                <c:pt idx="27">
                  <c:v>55-59_male</c:v>
                </c:pt>
              </c:strCache>
            </c:strRef>
          </c:cat>
          <c:val>
            <c:numRef>
              <c:f>signif!$P$5:$P$32</c:f>
              <c:numCache>
                <c:formatCode>0.00</c:formatCode>
                <c:ptCount val="28"/>
                <c:pt idx="0">
                  <c:v>2.2377191968737369E-2</c:v>
                </c:pt>
                <c:pt idx="1">
                  <c:v>2.375557566817026E-2</c:v>
                </c:pt>
                <c:pt idx="2">
                  <c:v>2.3824907865479202E-2</c:v>
                </c:pt>
                <c:pt idx="3">
                  <c:v>2.4356895550089741E-2</c:v>
                </c:pt>
                <c:pt idx="4">
                  <c:v>2.445309939757288E-2</c:v>
                </c:pt>
                <c:pt idx="5">
                  <c:v>2.4808400569703098E-2</c:v>
                </c:pt>
                <c:pt idx="6">
                  <c:v>2.5124802420021169E-2</c:v>
                </c:pt>
                <c:pt idx="7">
                  <c:v>2.8114733218078121E-2</c:v>
                </c:pt>
                <c:pt idx="8">
                  <c:v>2.9238202951780569E-2</c:v>
                </c:pt>
                <c:pt idx="9">
                  <c:v>2.9273473008173921E-2</c:v>
                </c:pt>
                <c:pt idx="10">
                  <c:v>2.9884759031708862E-2</c:v>
                </c:pt>
                <c:pt idx="11">
                  <c:v>3.0391294166711911E-2</c:v>
                </c:pt>
                <c:pt idx="12">
                  <c:v>3.1719670398973457E-2</c:v>
                </c:pt>
                <c:pt idx="13">
                  <c:v>3.233685814745544E-2</c:v>
                </c:pt>
                <c:pt idx="14">
                  <c:v>3.249785324545075E-2</c:v>
                </c:pt>
                <c:pt idx="15">
                  <c:v>3.2769620441415959E-2</c:v>
                </c:pt>
                <c:pt idx="16">
                  <c:v>3.2802825469900987E-2</c:v>
                </c:pt>
                <c:pt idx="17">
                  <c:v>3.4122402443515901E-2</c:v>
                </c:pt>
                <c:pt idx="18">
                  <c:v>3.4158862614362233E-2</c:v>
                </c:pt>
                <c:pt idx="19">
                  <c:v>3.5332766189128867E-2</c:v>
                </c:pt>
                <c:pt idx="20">
                  <c:v>3.552658184529725E-2</c:v>
                </c:pt>
                <c:pt idx="21">
                  <c:v>3.7627777925334213E-2</c:v>
                </c:pt>
                <c:pt idx="22">
                  <c:v>3.7911740382224272E-2</c:v>
                </c:pt>
                <c:pt idx="23">
                  <c:v>4.1648676160846762E-2</c:v>
                </c:pt>
                <c:pt idx="24">
                  <c:v>4.2689366802183007E-2</c:v>
                </c:pt>
                <c:pt idx="25">
                  <c:v>4.8602959606299692E-2</c:v>
                </c:pt>
                <c:pt idx="26">
                  <c:v>7.6725442774408584E-2</c:v>
                </c:pt>
                <c:pt idx="27">
                  <c:v>9.7923259736975521E-2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7-4E04-BDF0-45B781F70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33674368"/>
        <c:axId val="33678112"/>
      </c:barChart>
      <c:catAx>
        <c:axId val="3367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78112"/>
        <c:crosses val="autoZero"/>
        <c:auto val="1"/>
        <c:lblAlgn val="ctr"/>
        <c:lblOffset val="100"/>
        <c:noMultiLvlLbl val="0"/>
      </c:catAx>
      <c:valAx>
        <c:axId val="33678112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74368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123825</xdr:colOff>
      <xdr:row>34</xdr:row>
      <xdr:rowOff>180975</xdr:rowOff>
    </xdr:from>
    <xdr:to>
      <xdr:col>12</xdr:col>
      <xdr:colOff>466726</xdr:colOff>
      <xdr:row>48</xdr:row>
      <xdr:rowOff>47625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590549</xdr:colOff>
      <xdr:row>34</xdr:row>
      <xdr:rowOff>180975</xdr:rowOff>
    </xdr:from>
    <xdr:to>
      <xdr:col>22</xdr:col>
      <xdr:colOff>190500</xdr:colOff>
      <xdr:row>48</xdr:row>
      <xdr:rowOff>57150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T57"/>
  <sheetViews>
    <sheetView zoomScale="70" zoomScaleNormal="70" workbookViewId="0">
      <selection activeCell="Q1" sqref="Q1:S28"/>
    </sheetView>
  </sheetViews>
  <sheetFormatPr defaultRowHeight="15" x14ac:dyDescent="0.25"/>
  <cols>
    <col min="15" max="15" width="10.42578125" customWidth="1"/>
    <col min="16" max="16" width="11.28515625" customWidth="1"/>
    <col min="20" max="20" width="11.28515625" customWidth="1"/>
    <col min="21" max="21" width="12.28515625" customWidth="1"/>
    <col min="22" max="22" width="11.140625" customWidth="1"/>
    <col min="30" max="30" width="10.5703125" customWidth="1"/>
  </cols>
  <sheetData>
    <row r="1" spans="3:46" x14ac:dyDescent="0.25">
      <c r="C1" s="1" t="s">
        <v>4</v>
      </c>
      <c r="H1" s="1" t="s">
        <v>4</v>
      </c>
      <c r="M1" s="1" t="s">
        <v>76</v>
      </c>
      <c r="Q1" s="1" t="s">
        <v>77</v>
      </c>
      <c r="U1" s="1" t="s">
        <v>4</v>
      </c>
      <c r="Y1" s="1" t="s">
        <v>76</v>
      </c>
      <c r="AC1" s="1" t="s">
        <v>77</v>
      </c>
      <c r="AH1" s="1" t="s">
        <v>4</v>
      </c>
      <c r="AM1" s="1" t="s">
        <v>4</v>
      </c>
      <c r="AR1" s="1" t="s">
        <v>4</v>
      </c>
    </row>
    <row r="2" spans="3:46" x14ac:dyDescent="0.25">
      <c r="C2" s="1" t="s">
        <v>5</v>
      </c>
      <c r="E2" s="1"/>
      <c r="H2" s="1" t="s">
        <v>5</v>
      </c>
      <c r="J2" s="1"/>
      <c r="M2" s="1" t="s">
        <v>5</v>
      </c>
      <c r="O2" s="1"/>
      <c r="Q2" s="1" t="s">
        <v>5</v>
      </c>
      <c r="S2" s="1"/>
      <c r="U2" s="1" t="s">
        <v>5</v>
      </c>
      <c r="W2" s="1"/>
      <c r="Y2" s="1" t="s">
        <v>5</v>
      </c>
      <c r="AA2" s="1"/>
      <c r="AC2" s="1" t="s">
        <v>5</v>
      </c>
      <c r="AE2" s="1"/>
      <c r="AH2" s="1" t="s">
        <v>5</v>
      </c>
      <c r="AJ2" s="1"/>
      <c r="AM2" s="1" t="s">
        <v>5</v>
      </c>
      <c r="AO2" s="1"/>
      <c r="AR2" s="1" t="s">
        <v>5</v>
      </c>
      <c r="AT2" s="1"/>
    </row>
    <row r="3" spans="3:46" x14ac:dyDescent="0.25">
      <c r="C3" s="1" t="s">
        <v>6</v>
      </c>
      <c r="H3" s="1" t="s">
        <v>25</v>
      </c>
      <c r="M3" s="1" t="s">
        <v>25</v>
      </c>
      <c r="Q3" s="1" t="s">
        <v>25</v>
      </c>
      <c r="U3" s="1" t="s">
        <v>25</v>
      </c>
      <c r="Y3" s="1" t="s">
        <v>25</v>
      </c>
      <c r="AC3" s="1" t="s">
        <v>25</v>
      </c>
      <c r="AH3" s="1" t="s">
        <v>75</v>
      </c>
      <c r="AM3" s="1" t="s">
        <v>6</v>
      </c>
      <c r="AR3" s="1" t="s">
        <v>25</v>
      </c>
    </row>
    <row r="4" spans="3:46" x14ac:dyDescent="0.25">
      <c r="C4" s="2"/>
      <c r="D4" s="2" t="s">
        <v>0</v>
      </c>
      <c r="E4" s="2" t="s">
        <v>1</v>
      </c>
      <c r="H4" s="2"/>
      <c r="I4" s="2" t="s">
        <v>0</v>
      </c>
      <c r="J4" s="2" t="s">
        <v>1</v>
      </c>
      <c r="M4" s="2"/>
      <c r="N4" s="2" t="s">
        <v>0</v>
      </c>
      <c r="O4" s="2" t="s">
        <v>1</v>
      </c>
      <c r="Q4" s="2"/>
      <c r="R4" s="2" t="s">
        <v>0</v>
      </c>
      <c r="S4" s="2" t="s">
        <v>1</v>
      </c>
      <c r="U4" s="2"/>
      <c r="V4" s="2" t="s">
        <v>78</v>
      </c>
      <c r="W4" s="2" t="s">
        <v>79</v>
      </c>
      <c r="Y4" s="2"/>
      <c r="Z4" s="2" t="s">
        <v>78</v>
      </c>
      <c r="AA4" s="2" t="s">
        <v>79</v>
      </c>
      <c r="AC4" s="2"/>
      <c r="AD4" s="2" t="s">
        <v>78</v>
      </c>
      <c r="AE4" s="2" t="s">
        <v>79</v>
      </c>
      <c r="AH4" s="2"/>
      <c r="AI4" s="2" t="s">
        <v>0</v>
      </c>
      <c r="AJ4" s="2" t="s">
        <v>1</v>
      </c>
      <c r="AM4" s="2"/>
      <c r="AN4" s="2" t="s">
        <v>26</v>
      </c>
      <c r="AO4" s="2" t="s">
        <v>27</v>
      </c>
      <c r="AR4" s="2"/>
      <c r="AS4" s="2" t="s">
        <v>26</v>
      </c>
      <c r="AT4" s="2" t="s">
        <v>27</v>
      </c>
    </row>
    <row r="5" spans="3:46" x14ac:dyDescent="0.25">
      <c r="C5" s="2">
        <v>1</v>
      </c>
      <c r="D5" s="3">
        <v>0.93263881464523712</v>
      </c>
      <c r="E5" s="3">
        <v>0.56156889627929463</v>
      </c>
      <c r="H5" s="2">
        <v>1</v>
      </c>
      <c r="I5" s="3">
        <v>0.95126729923176923</v>
      </c>
      <c r="J5" s="3">
        <v>0.64275982298876144</v>
      </c>
      <c r="M5" s="2">
        <v>1</v>
      </c>
      <c r="N5" s="3">
        <v>0.96376463714200022</v>
      </c>
      <c r="O5" s="3">
        <v>0.62359503562562546</v>
      </c>
      <c r="Q5" s="2">
        <v>1</v>
      </c>
      <c r="R5" s="3">
        <v>0.93059818350705847</v>
      </c>
      <c r="S5" s="3">
        <v>0.58051363350021623</v>
      </c>
      <c r="U5" s="2">
        <v>1</v>
      </c>
      <c r="V5" s="3">
        <v>1.5034625322084961E-2</v>
      </c>
      <c r="W5" s="3">
        <v>0.10253386685648069</v>
      </c>
      <c r="Y5" s="2">
        <v>1</v>
      </c>
      <c r="Z5" s="3">
        <v>9.7254411034077507E-3</v>
      </c>
      <c r="AA5" s="3">
        <v>0.11570172630398649</v>
      </c>
      <c r="AC5" s="2">
        <v>1</v>
      </c>
      <c r="AD5" s="3">
        <v>2.3784950585372049E-2</v>
      </c>
      <c r="AE5" s="3">
        <v>0.10659284416487901</v>
      </c>
      <c r="AH5" s="2">
        <v>1</v>
      </c>
      <c r="AI5" s="3">
        <v>0.9483826461959044</v>
      </c>
      <c r="AJ5" s="3">
        <v>0.62424276749922858</v>
      </c>
      <c r="AM5" s="2">
        <v>1</v>
      </c>
      <c r="AN5" s="3">
        <v>0.11629864236609461</v>
      </c>
      <c r="AO5" s="3">
        <v>0.31224638203978711</v>
      </c>
      <c r="AR5" s="2">
        <v>1</v>
      </c>
      <c r="AS5" s="3">
        <v>8.1769613043519596E-2</v>
      </c>
      <c r="AT5" s="3">
        <v>0.2185752247090387</v>
      </c>
    </row>
    <row r="6" spans="3:46" x14ac:dyDescent="0.25">
      <c r="C6" s="2">
        <f>C5+1</f>
        <v>2</v>
      </c>
      <c r="D6" s="3">
        <v>0.92995863383395361</v>
      </c>
      <c r="E6" s="3">
        <v>0.57750461373675044</v>
      </c>
      <c r="H6" s="2">
        <f>H5+1</f>
        <v>2</v>
      </c>
      <c r="I6" s="3">
        <v>0.95208657287749376</v>
      </c>
      <c r="J6" s="3">
        <v>0.629469090151622</v>
      </c>
      <c r="M6" s="2">
        <f>M5+1</f>
        <v>2</v>
      </c>
      <c r="N6" s="3">
        <v>0.96804475655403921</v>
      </c>
      <c r="O6" s="3">
        <v>0.66502481796723922</v>
      </c>
      <c r="Q6" s="2">
        <f>Q5+1</f>
        <v>2</v>
      </c>
      <c r="R6" s="3">
        <v>0.93456370580028147</v>
      </c>
      <c r="S6" s="3">
        <v>0.64161757131163344</v>
      </c>
      <c r="U6" s="2">
        <f>U5+1</f>
        <v>2</v>
      </c>
      <c r="V6" s="3">
        <v>1.4764452034542481E-2</v>
      </c>
      <c r="W6" s="3">
        <v>0.10843676886549219</v>
      </c>
      <c r="Y6" s="2">
        <f>Y5+1</f>
        <v>2</v>
      </c>
      <c r="Z6" s="3">
        <v>1.0216734570977571E-2</v>
      </c>
      <c r="AA6" s="3">
        <v>0.1110102435603075</v>
      </c>
      <c r="AC6" s="2">
        <f>AC5+1</f>
        <v>2</v>
      </c>
      <c r="AD6" s="3">
        <v>2.6980596917559399E-2</v>
      </c>
      <c r="AE6" s="3">
        <v>0.10453993865587199</v>
      </c>
      <c r="AH6" s="2">
        <f>AH5+1</f>
        <v>2</v>
      </c>
      <c r="AI6" s="3">
        <v>0.95014181806151399</v>
      </c>
      <c r="AJ6" s="3">
        <v>0.65165738632552261</v>
      </c>
      <c r="AM6" s="2">
        <f>AM5+1</f>
        <v>2</v>
      </c>
      <c r="AN6" s="3">
        <v>0.1168169117142514</v>
      </c>
      <c r="AO6" s="3">
        <v>0.31273421380824667</v>
      </c>
      <c r="AR6" s="2">
        <f>AR5+1</f>
        <v>2</v>
      </c>
      <c r="AS6" s="3">
        <v>8.2015583435031403E-2</v>
      </c>
      <c r="AT6" s="3">
        <v>0.228059986916406</v>
      </c>
    </row>
    <row r="7" spans="3:46" x14ac:dyDescent="0.25">
      <c r="C7" s="2">
        <f t="shared" ref="C7:C54" si="0">C6+1</f>
        <v>3</v>
      </c>
      <c r="D7" s="3">
        <v>0.9295856483224525</v>
      </c>
      <c r="E7" s="3">
        <v>0.60832402864298207</v>
      </c>
      <c r="H7" s="2">
        <f t="shared" ref="H7:H54" si="1">H6+1</f>
        <v>3</v>
      </c>
      <c r="I7" s="3">
        <v>0.95200789112485118</v>
      </c>
      <c r="J7" s="3">
        <v>0.66944149512898354</v>
      </c>
      <c r="M7" s="2">
        <f t="shared" ref="M7:M54" si="2">M6+1</f>
        <v>3</v>
      </c>
      <c r="N7" s="3">
        <v>0.96645022569360428</v>
      </c>
      <c r="O7" s="3">
        <v>0.63576930319603719</v>
      </c>
      <c r="Q7" s="2">
        <f t="shared" ref="Q7:Q24" si="3">Q6+1</f>
        <v>3</v>
      </c>
      <c r="R7" s="3">
        <v>0.92751102854144163</v>
      </c>
      <c r="S7" s="3">
        <v>0.67724501933630687</v>
      </c>
      <c r="U7" s="2">
        <f t="shared" ref="U7:U24" si="4">U6+1</f>
        <v>3</v>
      </c>
      <c r="V7" s="3">
        <v>1.524398996920061E-2</v>
      </c>
      <c r="W7" s="3">
        <v>0.1018896244447343</v>
      </c>
      <c r="Y7" s="2">
        <f t="shared" ref="Y7:Y24" si="5">Y6+1</f>
        <v>3</v>
      </c>
      <c r="Z7" s="3">
        <v>1.028121426492695E-2</v>
      </c>
      <c r="AA7" s="3">
        <v>0.1160347139259587</v>
      </c>
      <c r="AC7" s="2">
        <f t="shared" ref="AC7:AC24" si="6">AC6+1</f>
        <v>3</v>
      </c>
      <c r="AD7" s="3">
        <v>2.009486907295174E-2</v>
      </c>
      <c r="AE7" s="3">
        <v>0.12533751204958379</v>
      </c>
      <c r="AH7" s="2">
        <f t="shared" ref="AH7:AH54" si="7">AH6+1</f>
        <v>3</v>
      </c>
      <c r="AI7" s="3">
        <v>0.94851326772255407</v>
      </c>
      <c r="AJ7" s="3">
        <v>0.6671959229934028</v>
      </c>
      <c r="AM7" s="2">
        <f t="shared" ref="AM7:AM54" si="8">AM6+1</f>
        <v>3</v>
      </c>
      <c r="AN7" s="3">
        <v>0.1179096055996649</v>
      </c>
      <c r="AO7" s="3">
        <v>0.29563574077515559</v>
      </c>
      <c r="AR7" s="2">
        <f t="shared" ref="AR7:AR54" si="9">AR6+1</f>
        <v>3</v>
      </c>
      <c r="AS7" s="3">
        <v>8.2242710734438632E-2</v>
      </c>
      <c r="AT7" s="3">
        <v>0.2149826377335019</v>
      </c>
    </row>
    <row r="8" spans="3:46" x14ac:dyDescent="0.25">
      <c r="C8" s="2">
        <f t="shared" si="0"/>
        <v>4</v>
      </c>
      <c r="D8" s="3">
        <v>0.93471818104097915</v>
      </c>
      <c r="E8" s="3">
        <v>0.517191287337742</v>
      </c>
      <c r="H8" s="2">
        <f t="shared" si="1"/>
        <v>4</v>
      </c>
      <c r="I8" s="3">
        <v>0.95055672753182496</v>
      </c>
      <c r="J8" s="3">
        <v>0.68654267551945458</v>
      </c>
      <c r="M8" s="2">
        <f t="shared" si="2"/>
        <v>4</v>
      </c>
      <c r="N8" s="3">
        <v>0.96658039969724063</v>
      </c>
      <c r="O8" s="3">
        <v>0.67227564588948074</v>
      </c>
      <c r="Q8" s="2">
        <f t="shared" si="3"/>
        <v>4</v>
      </c>
      <c r="R8" s="3">
        <v>0.90509582258875232</v>
      </c>
      <c r="S8" s="3">
        <v>0.66056614603622676</v>
      </c>
      <c r="U8" s="2">
        <f t="shared" si="4"/>
        <v>4</v>
      </c>
      <c r="V8" s="3">
        <v>1.530080098197413E-2</v>
      </c>
      <c r="W8" s="3">
        <v>0.1021724876171361</v>
      </c>
      <c r="Y8" s="2">
        <f t="shared" si="5"/>
        <v>4</v>
      </c>
      <c r="Z8" s="3">
        <v>1.163661095152236E-2</v>
      </c>
      <c r="AA8" s="3">
        <v>0.1048205338783237</v>
      </c>
      <c r="AC8" s="2">
        <f t="shared" si="6"/>
        <v>4</v>
      </c>
      <c r="AD8" s="3">
        <v>1.8886891081513559E-2</v>
      </c>
      <c r="AE8" s="3">
        <v>9.0645081685408982E-2</v>
      </c>
      <c r="AH8" s="2">
        <f t="shared" si="7"/>
        <v>4</v>
      </c>
      <c r="AI8" s="3">
        <v>0.94974359082717996</v>
      </c>
      <c r="AJ8" s="3">
        <v>0.62610975868051677</v>
      </c>
      <c r="AM8" s="2">
        <f t="shared" si="8"/>
        <v>4</v>
      </c>
      <c r="AN8" s="3">
        <v>0.1172464566941234</v>
      </c>
      <c r="AO8" s="3">
        <v>0.30646210688982789</v>
      </c>
      <c r="AR8" s="2">
        <f t="shared" si="9"/>
        <v>4</v>
      </c>
      <c r="AS8" s="3">
        <v>8.1549176794793454E-2</v>
      </c>
      <c r="AT8" s="3">
        <v>0.22654039805285689</v>
      </c>
    </row>
    <row r="9" spans="3:46" x14ac:dyDescent="0.25">
      <c r="C9" s="2">
        <f t="shared" si="0"/>
        <v>5</v>
      </c>
      <c r="D9" s="3">
        <v>0.93270180860473195</v>
      </c>
      <c r="E9" s="3">
        <v>0.56151875036614585</v>
      </c>
      <c r="H9" s="2">
        <f t="shared" si="1"/>
        <v>5</v>
      </c>
      <c r="I9" s="3">
        <v>0.95214389810174382</v>
      </c>
      <c r="J9" s="3">
        <v>0.66641103683849501</v>
      </c>
      <c r="M9" s="2">
        <f t="shared" si="2"/>
        <v>5</v>
      </c>
      <c r="N9" s="3">
        <v>0.96495952318547551</v>
      </c>
      <c r="O9" s="3">
        <v>0.67137239596803533</v>
      </c>
      <c r="Q9" s="2">
        <f t="shared" si="3"/>
        <v>5</v>
      </c>
      <c r="R9" s="3">
        <v>0.91760974646496485</v>
      </c>
      <c r="S9" s="3">
        <v>0.67547158883915204</v>
      </c>
      <c r="U9" s="2">
        <f t="shared" si="4"/>
        <v>5</v>
      </c>
      <c r="V9" s="3">
        <v>1.489262305778513E-2</v>
      </c>
      <c r="W9" s="3">
        <v>9.8546136415411351E-2</v>
      </c>
      <c r="Y9" s="2">
        <f t="shared" si="5"/>
        <v>5</v>
      </c>
      <c r="Z9" s="3">
        <v>9.5377722088051623E-3</v>
      </c>
      <c r="AA9" s="3">
        <v>0.1052218865180526</v>
      </c>
      <c r="AC9" s="2">
        <f t="shared" si="6"/>
        <v>5</v>
      </c>
      <c r="AD9" s="3">
        <v>1.903900608299898E-2</v>
      </c>
      <c r="AE9" s="3">
        <v>9.8376659454373211E-2</v>
      </c>
      <c r="AH9" s="2">
        <f t="shared" si="7"/>
        <v>5</v>
      </c>
      <c r="AI9" s="3">
        <v>0.95025250774461234</v>
      </c>
      <c r="AJ9" s="3">
        <v>0.62707359060358336</v>
      </c>
      <c r="AM9" s="2">
        <f t="shared" si="8"/>
        <v>5</v>
      </c>
      <c r="AN9" s="3">
        <v>0.11815620674558699</v>
      </c>
      <c r="AO9" s="3">
        <v>0.30697978105111479</v>
      </c>
      <c r="AR9" s="2">
        <f t="shared" si="9"/>
        <v>5</v>
      </c>
      <c r="AS9" s="3">
        <v>8.1536264136596287E-2</v>
      </c>
      <c r="AT9" s="3">
        <v>0.22159406681404359</v>
      </c>
    </row>
    <row r="10" spans="3:46" x14ac:dyDescent="0.25">
      <c r="C10" s="2">
        <f t="shared" si="0"/>
        <v>6</v>
      </c>
      <c r="D10" s="3">
        <v>0.93679827647234271</v>
      </c>
      <c r="E10" s="3">
        <v>0.43696645484385083</v>
      </c>
      <c r="H10" s="2">
        <f t="shared" si="1"/>
        <v>6</v>
      </c>
      <c r="I10" s="3">
        <v>0.95059898373151319</v>
      </c>
      <c r="J10" s="3">
        <v>0.6532349561766656</v>
      </c>
      <c r="M10" s="2">
        <f t="shared" si="2"/>
        <v>6</v>
      </c>
      <c r="N10" s="3">
        <v>0.96554140647002118</v>
      </c>
      <c r="O10" s="3">
        <v>0.6474584870092972</v>
      </c>
      <c r="Q10" s="2">
        <f t="shared" si="3"/>
        <v>6</v>
      </c>
      <c r="R10" s="3">
        <v>0.91006532245050487</v>
      </c>
      <c r="S10" s="3">
        <v>0.67981396316488496</v>
      </c>
      <c r="U10" s="2">
        <f t="shared" si="4"/>
        <v>6</v>
      </c>
      <c r="V10" s="3">
        <v>1.476850552290742E-2</v>
      </c>
      <c r="W10" s="3">
        <v>0.1075442703430376</v>
      </c>
      <c r="Y10" s="2">
        <f t="shared" si="5"/>
        <v>6</v>
      </c>
      <c r="Z10" s="3">
        <v>1.0286084904980919E-2</v>
      </c>
      <c r="AA10" s="3">
        <v>0.12026798540613259</v>
      </c>
      <c r="AC10" s="2">
        <f t="shared" si="6"/>
        <v>6</v>
      </c>
      <c r="AD10" s="3">
        <v>2.1975638229181121E-2</v>
      </c>
      <c r="AE10" s="3">
        <v>9.9657738869041182E-2</v>
      </c>
      <c r="AH10" s="2">
        <f t="shared" si="7"/>
        <v>6</v>
      </c>
      <c r="AI10" s="3">
        <v>0.94796415952673541</v>
      </c>
      <c r="AJ10" s="3">
        <v>0.67429355017169756</v>
      </c>
      <c r="AM10" s="2">
        <f t="shared" si="8"/>
        <v>6</v>
      </c>
      <c r="AN10" s="3">
        <v>0.1169240315092835</v>
      </c>
      <c r="AO10" s="3">
        <v>0.30980523001355198</v>
      </c>
      <c r="AR10" s="2">
        <f t="shared" si="9"/>
        <v>6</v>
      </c>
      <c r="AS10" s="3">
        <v>8.1823070141145773E-2</v>
      </c>
      <c r="AT10" s="3">
        <v>0.22855806711828469</v>
      </c>
    </row>
    <row r="11" spans="3:46" x14ac:dyDescent="0.25">
      <c r="C11" s="2">
        <f t="shared" si="0"/>
        <v>7</v>
      </c>
      <c r="D11" s="3">
        <v>0.93194966234494203</v>
      </c>
      <c r="E11" s="3">
        <v>0.57265957919999833</v>
      </c>
      <c r="H11" s="2">
        <f t="shared" si="1"/>
        <v>7</v>
      </c>
      <c r="I11" s="3">
        <v>0.95177664218538671</v>
      </c>
      <c r="J11" s="3">
        <v>0.65712144013742768</v>
      </c>
      <c r="M11" s="2">
        <f t="shared" si="2"/>
        <v>7</v>
      </c>
      <c r="N11" s="3">
        <v>0.96745516133544252</v>
      </c>
      <c r="O11" s="3">
        <v>0.63782181397582938</v>
      </c>
      <c r="Q11" s="2">
        <f t="shared" si="3"/>
        <v>7</v>
      </c>
      <c r="R11" s="3">
        <v>0.90903325184805839</v>
      </c>
      <c r="S11" s="3">
        <v>0.65572288566889669</v>
      </c>
      <c r="U11" s="2">
        <f t="shared" si="4"/>
        <v>7</v>
      </c>
      <c r="V11" s="3">
        <v>1.4712986857944071E-2</v>
      </c>
      <c r="W11" s="3">
        <v>0.1076780221436838</v>
      </c>
      <c r="Y11" s="2">
        <f t="shared" si="5"/>
        <v>7</v>
      </c>
      <c r="Z11" s="3">
        <v>9.7967090279293435E-3</v>
      </c>
      <c r="AA11" s="3">
        <v>0.1044312865263093</v>
      </c>
      <c r="AC11" s="2">
        <f t="shared" si="6"/>
        <v>7</v>
      </c>
      <c r="AD11" s="3">
        <v>2.059937584020425E-2</v>
      </c>
      <c r="AE11" s="3">
        <v>9.6860522450962661E-2</v>
      </c>
      <c r="AH11" s="2">
        <f t="shared" si="7"/>
        <v>7</v>
      </c>
      <c r="AI11" s="3">
        <v>0.94938913654931145</v>
      </c>
      <c r="AJ11" s="3">
        <v>0.64531580148263057</v>
      </c>
      <c r="AM11" s="2">
        <f t="shared" si="8"/>
        <v>7</v>
      </c>
      <c r="AN11" s="3">
        <v>0.1162986700492049</v>
      </c>
      <c r="AO11" s="3">
        <v>0.32155039855673279</v>
      </c>
      <c r="AR11" s="2">
        <f t="shared" si="9"/>
        <v>7</v>
      </c>
      <c r="AS11" s="3">
        <v>8.1705863850174379E-2</v>
      </c>
      <c r="AT11" s="3">
        <v>0.21721269051565181</v>
      </c>
    </row>
    <row r="12" spans="3:46" x14ac:dyDescent="0.25">
      <c r="C12" s="2">
        <f t="shared" si="0"/>
        <v>8</v>
      </c>
      <c r="D12" s="3">
        <v>0.93323059300511157</v>
      </c>
      <c r="E12" s="3">
        <v>0.52507057887809827</v>
      </c>
      <c r="H12" s="2">
        <f t="shared" si="1"/>
        <v>8</v>
      </c>
      <c r="I12" s="3">
        <v>0.95211229900569394</v>
      </c>
      <c r="J12" s="3">
        <v>0.62811490133172454</v>
      </c>
      <c r="M12" s="2">
        <f t="shared" si="2"/>
        <v>8</v>
      </c>
      <c r="N12" s="3">
        <v>0.96867666625655269</v>
      </c>
      <c r="O12" s="3">
        <v>0.65038652061124136</v>
      </c>
      <c r="Q12" s="2">
        <f t="shared" si="3"/>
        <v>8</v>
      </c>
      <c r="R12" s="3">
        <v>0.93874239846378771</v>
      </c>
      <c r="S12" s="3">
        <v>0.67022182967905586</v>
      </c>
      <c r="U12" s="2">
        <f t="shared" si="4"/>
        <v>8</v>
      </c>
      <c r="V12" s="3">
        <v>1.5026179545689621E-2</v>
      </c>
      <c r="W12" s="3">
        <v>0.10030747828149369</v>
      </c>
      <c r="Y12" s="2">
        <f t="shared" si="5"/>
        <v>8</v>
      </c>
      <c r="Z12" s="3">
        <v>1.0141614466680261E-2</v>
      </c>
      <c r="AA12" s="3">
        <v>9.4813154183915338E-2</v>
      </c>
      <c r="AC12" s="2">
        <f t="shared" si="6"/>
        <v>8</v>
      </c>
      <c r="AD12" s="3">
        <v>2.0036949751600121E-2</v>
      </c>
      <c r="AE12" s="3">
        <v>0.1047232778820977</v>
      </c>
      <c r="AH12" s="2">
        <f t="shared" si="7"/>
        <v>8</v>
      </c>
      <c r="AI12" s="3">
        <v>0.94858419153504725</v>
      </c>
      <c r="AJ12" s="3">
        <v>0.62639699780051294</v>
      </c>
      <c r="AM12" s="2">
        <f t="shared" si="8"/>
        <v>8</v>
      </c>
      <c r="AN12" s="3">
        <v>0.11776354951009541</v>
      </c>
      <c r="AO12" s="3">
        <v>0.31911434022278012</v>
      </c>
      <c r="AR12" s="2">
        <f t="shared" si="9"/>
        <v>8</v>
      </c>
      <c r="AS12" s="3">
        <v>8.2664068657790857E-2</v>
      </c>
      <c r="AT12" s="3">
        <v>0.21594411354817489</v>
      </c>
    </row>
    <row r="13" spans="3:46" x14ac:dyDescent="0.25">
      <c r="C13" s="2">
        <f t="shared" si="0"/>
        <v>9</v>
      </c>
      <c r="D13" s="3">
        <v>0.93250116121323223</v>
      </c>
      <c r="E13" s="3">
        <v>0.57498992624395417</v>
      </c>
      <c r="H13" s="2">
        <f t="shared" si="1"/>
        <v>9</v>
      </c>
      <c r="I13" s="3">
        <v>0.95288449881370985</v>
      </c>
      <c r="J13" s="3">
        <v>0.64387148219708357</v>
      </c>
      <c r="M13" s="2">
        <f t="shared" si="2"/>
        <v>9</v>
      </c>
      <c r="N13" s="3">
        <v>0.96774542035502986</v>
      </c>
      <c r="O13" s="3">
        <v>0.65614073554898811</v>
      </c>
      <c r="Q13" s="2">
        <f t="shared" si="3"/>
        <v>9</v>
      </c>
      <c r="R13" s="3">
        <v>0.90286621421309232</v>
      </c>
      <c r="S13" s="3">
        <v>0.64378713132094623</v>
      </c>
      <c r="U13" s="2">
        <f t="shared" si="4"/>
        <v>9</v>
      </c>
      <c r="V13" s="3">
        <v>1.485988747458407E-2</v>
      </c>
      <c r="W13" s="3">
        <v>0.1138696459166669</v>
      </c>
      <c r="Y13" s="2">
        <f t="shared" si="5"/>
        <v>9</v>
      </c>
      <c r="Z13" s="3">
        <v>1.020521913866438E-2</v>
      </c>
      <c r="AA13" s="3">
        <v>0.106946473612236</v>
      </c>
      <c r="AC13" s="2">
        <f t="shared" si="6"/>
        <v>9</v>
      </c>
      <c r="AD13" s="3">
        <v>2.7506474550890149E-2</v>
      </c>
      <c r="AE13" s="3">
        <v>0.1090018296103881</v>
      </c>
      <c r="AH13" s="2">
        <f t="shared" si="7"/>
        <v>9</v>
      </c>
      <c r="AI13" s="3">
        <v>0.94893636270296566</v>
      </c>
      <c r="AJ13" s="3">
        <v>0.66640684057230692</v>
      </c>
      <c r="AM13" s="2">
        <f t="shared" si="8"/>
        <v>9</v>
      </c>
      <c r="AN13" s="3">
        <v>0.1156787760033966</v>
      </c>
      <c r="AO13" s="3">
        <v>0.31468487648743998</v>
      </c>
      <c r="AR13" s="2">
        <f t="shared" si="9"/>
        <v>9</v>
      </c>
      <c r="AS13" s="3">
        <v>8.2246020605867914E-2</v>
      </c>
      <c r="AT13" s="3">
        <v>0.22114865492312391</v>
      </c>
    </row>
    <row r="14" spans="3:46" x14ac:dyDescent="0.25">
      <c r="C14" s="2">
        <f t="shared" si="0"/>
        <v>10</v>
      </c>
      <c r="D14" s="3">
        <v>0.93511946626769316</v>
      </c>
      <c r="E14" s="3">
        <v>0.51942288580286633</v>
      </c>
      <c r="H14" s="2">
        <f t="shared" si="1"/>
        <v>10</v>
      </c>
      <c r="I14" s="3">
        <v>0.95055984880650379</v>
      </c>
      <c r="J14" s="3">
        <v>0.67642291136019894</v>
      </c>
      <c r="M14" s="2">
        <f t="shared" si="2"/>
        <v>10</v>
      </c>
      <c r="N14" s="3">
        <v>0.96695142665664691</v>
      </c>
      <c r="O14" s="3">
        <v>0.58497164771542542</v>
      </c>
      <c r="Q14" s="2">
        <f t="shared" si="3"/>
        <v>10</v>
      </c>
      <c r="R14" s="3">
        <v>0.93063588370645434</v>
      </c>
      <c r="S14" s="3">
        <v>0.66387289968503982</v>
      </c>
      <c r="U14" s="2">
        <f t="shared" si="4"/>
        <v>10</v>
      </c>
      <c r="V14" s="3">
        <v>1.487784831102958E-2</v>
      </c>
      <c r="W14" s="3">
        <v>0.1031935406231308</v>
      </c>
      <c r="Y14" s="2">
        <f t="shared" si="5"/>
        <v>10</v>
      </c>
      <c r="Z14" s="3">
        <v>9.6083974809740222E-3</v>
      </c>
      <c r="AA14" s="3">
        <v>0.1113686452837185</v>
      </c>
      <c r="AC14" s="2">
        <f t="shared" si="6"/>
        <v>10</v>
      </c>
      <c r="AD14" s="3">
        <v>2.4736927553130651E-2</v>
      </c>
      <c r="AE14" s="3">
        <v>0.1178511207403803</v>
      </c>
      <c r="AH14" s="2">
        <f t="shared" si="7"/>
        <v>10</v>
      </c>
      <c r="AI14" s="3">
        <v>0.95029434903033028</v>
      </c>
      <c r="AJ14" s="3">
        <v>0.63156679502402269</v>
      </c>
      <c r="AM14" s="2">
        <f t="shared" si="8"/>
        <v>10</v>
      </c>
      <c r="AN14" s="3">
        <v>0.1178000635324878</v>
      </c>
      <c r="AO14" s="3">
        <v>0.30004516193868969</v>
      </c>
      <c r="AR14" s="2">
        <f t="shared" si="9"/>
        <v>10</v>
      </c>
      <c r="AS14" s="3">
        <v>8.2762723030266369E-2</v>
      </c>
      <c r="AT14" s="3">
        <v>0.22181721225600909</v>
      </c>
    </row>
    <row r="15" spans="3:46" x14ac:dyDescent="0.25">
      <c r="C15" s="2">
        <f t="shared" si="0"/>
        <v>11</v>
      </c>
      <c r="D15" s="3">
        <v>0.93506677157241735</v>
      </c>
      <c r="E15" s="3">
        <v>0.47860647302880438</v>
      </c>
      <c r="H15" s="2">
        <f t="shared" si="1"/>
        <v>11</v>
      </c>
      <c r="I15" s="3">
        <v>0.9516263438681829</v>
      </c>
      <c r="J15" s="3">
        <v>0.66143118076609753</v>
      </c>
      <c r="M15" s="2">
        <f t="shared" si="2"/>
        <v>11</v>
      </c>
      <c r="N15" s="3">
        <v>0.96817186145221468</v>
      </c>
      <c r="O15" s="3">
        <v>0.6632362359115116</v>
      </c>
      <c r="Q15" s="2">
        <f t="shared" si="3"/>
        <v>11</v>
      </c>
      <c r="R15" s="3">
        <v>0.92299317362426891</v>
      </c>
      <c r="S15" s="3">
        <v>0.68000886033185592</v>
      </c>
      <c r="U15" s="2">
        <f t="shared" si="4"/>
        <v>11</v>
      </c>
      <c r="V15" s="3">
        <v>1.455115476928368E-2</v>
      </c>
      <c r="W15" s="3">
        <v>0.1139143759740549</v>
      </c>
      <c r="Y15" s="2">
        <f t="shared" si="5"/>
        <v>11</v>
      </c>
      <c r="Z15" s="3">
        <v>1.060237720085286E-2</v>
      </c>
      <c r="AA15" s="3">
        <v>9.8518028121507784E-2</v>
      </c>
      <c r="AC15" s="2">
        <f t="shared" si="6"/>
        <v>11</v>
      </c>
      <c r="AD15" s="3">
        <v>2.366041817567183E-2</v>
      </c>
      <c r="AE15" s="3">
        <v>0.115024458213068</v>
      </c>
      <c r="AH15" s="2">
        <f t="shared" si="7"/>
        <v>11</v>
      </c>
      <c r="AI15" s="3">
        <v>0.9484002184287218</v>
      </c>
      <c r="AJ15" s="3">
        <v>0.64802503096297781</v>
      </c>
      <c r="AM15" s="2">
        <f t="shared" si="8"/>
        <v>11</v>
      </c>
      <c r="AN15" s="3">
        <v>0.1171383818317885</v>
      </c>
      <c r="AO15" s="3">
        <v>0.30811545296515908</v>
      </c>
      <c r="AR15" s="2">
        <f t="shared" si="9"/>
        <v>11</v>
      </c>
      <c r="AS15" s="3">
        <v>8.3102819747522774E-2</v>
      </c>
      <c r="AT15" s="3">
        <v>0.2112029915425882</v>
      </c>
    </row>
    <row r="16" spans="3:46" x14ac:dyDescent="0.25">
      <c r="C16" s="2">
        <f t="shared" si="0"/>
        <v>12</v>
      </c>
      <c r="D16" s="3">
        <v>0.93555356209022267</v>
      </c>
      <c r="E16" s="3">
        <v>0.47789564309637511</v>
      </c>
      <c r="H16" s="2">
        <f t="shared" si="1"/>
        <v>12</v>
      </c>
      <c r="I16" s="3">
        <v>0.95259019175247539</v>
      </c>
      <c r="J16" s="3">
        <v>0.67018187713441957</v>
      </c>
      <c r="M16" s="2">
        <f t="shared" si="2"/>
        <v>12</v>
      </c>
      <c r="N16" s="3">
        <v>0.96595701096541908</v>
      </c>
      <c r="O16" s="3">
        <v>0.66700725715383224</v>
      </c>
      <c r="Q16" s="2">
        <f t="shared" si="3"/>
        <v>12</v>
      </c>
      <c r="R16" s="3">
        <v>0.92046359789099963</v>
      </c>
      <c r="S16" s="3">
        <v>0.6521985590802033</v>
      </c>
      <c r="U16" s="2">
        <f t="shared" si="4"/>
        <v>12</v>
      </c>
      <c r="V16" s="3">
        <v>1.539029131656122E-2</v>
      </c>
      <c r="W16" s="3">
        <v>9.5257247816083399E-2</v>
      </c>
      <c r="Y16" s="2">
        <f t="shared" si="5"/>
        <v>12</v>
      </c>
      <c r="Z16" s="3">
        <v>9.439217120172861E-3</v>
      </c>
      <c r="AA16" s="3">
        <v>0.11145067949458611</v>
      </c>
      <c r="AC16" s="2">
        <f t="shared" si="6"/>
        <v>12</v>
      </c>
      <c r="AD16" s="3">
        <v>2.3834668802650009E-2</v>
      </c>
      <c r="AE16" s="3">
        <v>9.5046112484566653E-2</v>
      </c>
      <c r="AH16" s="2">
        <f t="shared" si="7"/>
        <v>12</v>
      </c>
      <c r="AI16" s="3">
        <v>0.94989129262824368</v>
      </c>
      <c r="AJ16" s="3">
        <v>0.63875755894633546</v>
      </c>
      <c r="AM16" s="2">
        <f t="shared" si="8"/>
        <v>12</v>
      </c>
      <c r="AN16" s="3">
        <v>0.1171186160910848</v>
      </c>
      <c r="AO16" s="3">
        <v>0.31103563353080099</v>
      </c>
      <c r="AR16" s="2">
        <f t="shared" si="9"/>
        <v>12</v>
      </c>
      <c r="AS16" s="3">
        <v>8.2339487334254086E-2</v>
      </c>
      <c r="AT16" s="3">
        <v>0.2260417239367816</v>
      </c>
    </row>
    <row r="17" spans="3:46" x14ac:dyDescent="0.25">
      <c r="C17" s="2">
        <f t="shared" si="0"/>
        <v>13</v>
      </c>
      <c r="D17" s="3">
        <v>0.93378791937349992</v>
      </c>
      <c r="E17" s="3">
        <v>0.5078787486361328</v>
      </c>
      <c r="H17" s="2">
        <f t="shared" si="1"/>
        <v>13</v>
      </c>
      <c r="I17" s="3">
        <v>0.9527039059927398</v>
      </c>
      <c r="J17" s="3">
        <v>0.62043554495858433</v>
      </c>
      <c r="M17" s="2">
        <f t="shared" si="2"/>
        <v>13</v>
      </c>
      <c r="N17" s="3">
        <v>0.968334991632671</v>
      </c>
      <c r="O17" s="3">
        <v>0.64718254910704776</v>
      </c>
      <c r="Q17" s="2">
        <f t="shared" si="3"/>
        <v>13</v>
      </c>
      <c r="R17" s="3">
        <v>0.92741306163233084</v>
      </c>
      <c r="S17" s="3">
        <v>0.69105130796107628</v>
      </c>
      <c r="U17" s="2">
        <f t="shared" si="4"/>
        <v>13</v>
      </c>
      <c r="V17" s="3">
        <v>1.509463261395547E-2</v>
      </c>
      <c r="W17" s="3">
        <v>9.6457785484444419E-2</v>
      </c>
      <c r="Y17" s="2">
        <f t="shared" si="5"/>
        <v>13</v>
      </c>
      <c r="Z17" s="3">
        <v>1.0197519243926549E-2</v>
      </c>
      <c r="AA17" s="3">
        <v>0.11246199433009429</v>
      </c>
      <c r="AC17" s="2">
        <f t="shared" si="6"/>
        <v>13</v>
      </c>
      <c r="AD17" s="3">
        <v>2.3078141588300519E-2</v>
      </c>
      <c r="AE17" s="3">
        <v>9.5364117258531125E-2</v>
      </c>
      <c r="AH17" s="2">
        <f t="shared" si="7"/>
        <v>13</v>
      </c>
      <c r="AI17" s="3">
        <v>0.9492074765160603</v>
      </c>
      <c r="AJ17" s="3">
        <v>0.64812073080130728</v>
      </c>
      <c r="AM17" s="2">
        <f t="shared" si="8"/>
        <v>13</v>
      </c>
      <c r="AN17" s="3">
        <v>0.1171742453010904</v>
      </c>
      <c r="AO17" s="3">
        <v>0.31140957698377753</v>
      </c>
      <c r="AR17" s="2">
        <f t="shared" si="9"/>
        <v>13</v>
      </c>
      <c r="AS17" s="3">
        <v>8.1596317207806829E-2</v>
      </c>
      <c r="AT17" s="3">
        <v>0.23112952553723701</v>
      </c>
    </row>
    <row r="18" spans="3:46" x14ac:dyDescent="0.25">
      <c r="C18" s="2">
        <f t="shared" si="0"/>
        <v>14</v>
      </c>
      <c r="D18" s="3">
        <v>0.93471111627720604</v>
      </c>
      <c r="E18" s="3">
        <v>0.51580996070666396</v>
      </c>
      <c r="H18" s="2">
        <f t="shared" si="1"/>
        <v>14</v>
      </c>
      <c r="I18" s="3">
        <v>0.9516180665632118</v>
      </c>
      <c r="J18" s="3">
        <v>0.65092072927518974</v>
      </c>
      <c r="M18" s="2">
        <f t="shared" si="2"/>
        <v>14</v>
      </c>
      <c r="N18" s="3">
        <v>0.96686305288697583</v>
      </c>
      <c r="O18" s="3">
        <v>0.63392098300799749</v>
      </c>
      <c r="Q18" s="2">
        <f t="shared" si="3"/>
        <v>14</v>
      </c>
      <c r="R18" s="3">
        <v>0.91881001221897252</v>
      </c>
      <c r="S18" s="3">
        <v>0.61515329388807605</v>
      </c>
      <c r="U18" s="2">
        <f t="shared" si="4"/>
        <v>14</v>
      </c>
      <c r="V18" s="3">
        <v>1.501486089602681E-2</v>
      </c>
      <c r="W18" s="3">
        <v>0.1017507957212412</v>
      </c>
      <c r="Y18" s="2">
        <f t="shared" si="5"/>
        <v>14</v>
      </c>
      <c r="Z18" s="3">
        <v>9.9459032013071696E-3</v>
      </c>
      <c r="AA18" s="3">
        <v>0.1187995999173132</v>
      </c>
      <c r="AC18" s="2">
        <f t="shared" si="6"/>
        <v>14</v>
      </c>
      <c r="AD18" s="3">
        <v>2.608919144003409E-2</v>
      </c>
      <c r="AE18" s="3">
        <v>0.106491224146987</v>
      </c>
      <c r="AH18" s="2">
        <f t="shared" si="7"/>
        <v>14</v>
      </c>
      <c r="AI18" s="3">
        <v>0.94938848879038751</v>
      </c>
      <c r="AJ18" s="3">
        <v>0.66775707346954982</v>
      </c>
      <c r="AM18" s="2">
        <f t="shared" si="8"/>
        <v>14</v>
      </c>
      <c r="AN18" s="3">
        <v>0.1164586784263299</v>
      </c>
      <c r="AO18" s="3">
        <v>0.30973552394199477</v>
      </c>
      <c r="AR18" s="2">
        <f t="shared" si="9"/>
        <v>14</v>
      </c>
      <c r="AS18" s="3">
        <v>8.2632752639061433E-2</v>
      </c>
      <c r="AT18" s="3">
        <v>0.21940649077523819</v>
      </c>
    </row>
    <row r="19" spans="3:46" x14ac:dyDescent="0.25">
      <c r="C19" s="2">
        <f t="shared" si="0"/>
        <v>15</v>
      </c>
      <c r="D19" s="3">
        <v>0.93533900410590587</v>
      </c>
      <c r="E19" s="3">
        <v>0.50795792173758669</v>
      </c>
      <c r="H19" s="2">
        <f t="shared" si="1"/>
        <v>15</v>
      </c>
      <c r="I19" s="3">
        <v>0.95206163751220563</v>
      </c>
      <c r="J19" s="3">
        <v>0.63727055500260632</v>
      </c>
      <c r="M19" s="2">
        <f t="shared" si="2"/>
        <v>15</v>
      </c>
      <c r="N19" s="3">
        <v>0.96725845511840991</v>
      </c>
      <c r="O19" s="3">
        <v>0.63237481941050588</v>
      </c>
      <c r="Q19" s="2">
        <f t="shared" si="3"/>
        <v>15</v>
      </c>
      <c r="R19" s="3">
        <v>0.92446872839028571</v>
      </c>
      <c r="S19" s="3">
        <v>0.65414577345870517</v>
      </c>
      <c r="U19" s="2">
        <f t="shared" si="4"/>
        <v>15</v>
      </c>
      <c r="V19" s="3">
        <v>1.51731811306664E-2</v>
      </c>
      <c r="W19" s="3">
        <v>0.10248288858187091</v>
      </c>
      <c r="Y19" s="2">
        <f t="shared" si="5"/>
        <v>15</v>
      </c>
      <c r="Z19" s="3">
        <v>1.0488520383780319E-2</v>
      </c>
      <c r="AA19" s="3">
        <v>9.6080827079211756E-2</v>
      </c>
      <c r="AC19" s="2">
        <f t="shared" si="6"/>
        <v>15</v>
      </c>
      <c r="AD19" s="3">
        <v>2.593978202806135E-2</v>
      </c>
      <c r="AE19" s="3">
        <v>9.5598847492860115E-2</v>
      </c>
      <c r="AH19" s="2">
        <f t="shared" si="7"/>
        <v>15</v>
      </c>
      <c r="AI19" s="3">
        <v>0.94881345044029819</v>
      </c>
      <c r="AJ19" s="3">
        <v>0.61746215094387957</v>
      </c>
      <c r="AM19" s="2">
        <f t="shared" si="8"/>
        <v>15</v>
      </c>
      <c r="AN19" s="3">
        <v>0.1177906235918996</v>
      </c>
      <c r="AO19" s="3">
        <v>0.30600599996569089</v>
      </c>
      <c r="AR19" s="2">
        <f t="shared" si="9"/>
        <v>15</v>
      </c>
      <c r="AS19" s="3">
        <v>8.1650285344827836E-2</v>
      </c>
      <c r="AT19" s="3">
        <v>0.22222848595890529</v>
      </c>
    </row>
    <row r="20" spans="3:46" x14ac:dyDescent="0.25">
      <c r="C20" s="2">
        <f t="shared" si="0"/>
        <v>16</v>
      </c>
      <c r="D20" s="3">
        <v>0.93193469003019114</v>
      </c>
      <c r="E20" s="3">
        <v>0.50167719590003501</v>
      </c>
      <c r="H20" s="2">
        <f t="shared" si="1"/>
        <v>16</v>
      </c>
      <c r="I20" s="3">
        <v>0.94846654594236934</v>
      </c>
      <c r="J20" s="3">
        <v>0.67338195669841994</v>
      </c>
      <c r="M20" s="2">
        <f t="shared" si="2"/>
        <v>16</v>
      </c>
      <c r="N20" s="3">
        <v>0.97056227637556525</v>
      </c>
      <c r="O20" s="3">
        <v>0.61294404459202034</v>
      </c>
      <c r="Q20" s="2">
        <f t="shared" si="3"/>
        <v>16</v>
      </c>
      <c r="R20" s="3">
        <v>0.92170689584554721</v>
      </c>
      <c r="S20" s="3">
        <v>0.70560113634140675</v>
      </c>
      <c r="U20" s="2">
        <f t="shared" si="4"/>
        <v>16</v>
      </c>
      <c r="V20" s="3">
        <v>1.524970865159618E-2</v>
      </c>
      <c r="W20" s="3">
        <v>0.1043101435580429</v>
      </c>
      <c r="Y20" s="2">
        <f t="shared" si="5"/>
        <v>16</v>
      </c>
      <c r="Z20" s="3">
        <v>1.063781859124845E-2</v>
      </c>
      <c r="AA20" s="3">
        <v>9.9892162405763318E-2</v>
      </c>
      <c r="AC20" s="2">
        <f t="shared" si="6"/>
        <v>16</v>
      </c>
      <c r="AD20" s="3">
        <v>2.3852872637802482E-2</v>
      </c>
      <c r="AE20" s="3">
        <v>9.3235788013665055E-2</v>
      </c>
      <c r="AH20" s="2">
        <f t="shared" si="7"/>
        <v>16</v>
      </c>
      <c r="AI20" s="3">
        <v>0.95006313957131971</v>
      </c>
      <c r="AJ20" s="3">
        <v>0.61314988818603333</v>
      </c>
      <c r="AM20" s="2">
        <f t="shared" si="8"/>
        <v>16</v>
      </c>
      <c r="AN20" s="3">
        <v>0.11747927165115141</v>
      </c>
      <c r="AO20" s="3">
        <v>0.31312975008720212</v>
      </c>
      <c r="AR20" s="2">
        <f t="shared" si="9"/>
        <v>16</v>
      </c>
      <c r="AS20" s="3">
        <v>8.2300244262586322E-2</v>
      </c>
      <c r="AT20" s="3">
        <v>0.2131942670611168</v>
      </c>
    </row>
    <row r="21" spans="3:46" x14ac:dyDescent="0.25">
      <c r="C21" s="2">
        <f t="shared" si="0"/>
        <v>17</v>
      </c>
      <c r="D21" s="3">
        <v>0.93118987342570148</v>
      </c>
      <c r="E21" s="3">
        <v>0.52781938819035079</v>
      </c>
      <c r="H21" s="2">
        <f t="shared" si="1"/>
        <v>17</v>
      </c>
      <c r="I21" s="3">
        <v>0.95305584171554325</v>
      </c>
      <c r="J21" s="3">
        <v>0.6026267589083667</v>
      </c>
      <c r="M21" s="2">
        <f t="shared" si="2"/>
        <v>17</v>
      </c>
      <c r="N21" s="3">
        <v>0.96852328735592308</v>
      </c>
      <c r="O21" s="3">
        <v>0.61174912077165566</v>
      </c>
      <c r="Q21" s="2">
        <f t="shared" si="3"/>
        <v>17</v>
      </c>
      <c r="R21" s="3">
        <v>0.92248615253204136</v>
      </c>
      <c r="S21" s="3">
        <v>0.65636503240016197</v>
      </c>
      <c r="U21" s="2">
        <f t="shared" si="4"/>
        <v>17</v>
      </c>
      <c r="V21" s="3">
        <v>1.4829091549765959E-2</v>
      </c>
      <c r="W21" s="3">
        <v>9.5983189204538827E-2</v>
      </c>
      <c r="Y21" s="2">
        <f t="shared" si="5"/>
        <v>17</v>
      </c>
      <c r="Z21" s="3">
        <v>1.1018297986841249E-2</v>
      </c>
      <c r="AA21" s="3">
        <v>0.1017541605419314</v>
      </c>
      <c r="AC21" s="2">
        <f t="shared" si="6"/>
        <v>17</v>
      </c>
      <c r="AD21" s="3">
        <v>2.0881119010251661E-2</v>
      </c>
      <c r="AE21" s="3">
        <v>0.10018307542002849</v>
      </c>
      <c r="AH21" s="2">
        <f t="shared" si="7"/>
        <v>17</v>
      </c>
      <c r="AI21" s="3">
        <v>0.94841670021682811</v>
      </c>
      <c r="AJ21" s="3">
        <v>0.68723334489831167</v>
      </c>
      <c r="AM21" s="2">
        <f t="shared" si="8"/>
        <v>17</v>
      </c>
      <c r="AN21" s="3">
        <v>0.1170660597063146</v>
      </c>
      <c r="AO21" s="3">
        <v>0.31892808825715768</v>
      </c>
      <c r="AR21" s="2">
        <f t="shared" si="9"/>
        <v>17</v>
      </c>
      <c r="AS21" s="3">
        <v>8.2010057078785031E-2</v>
      </c>
      <c r="AT21" s="3">
        <v>0.22226383573189001</v>
      </c>
    </row>
    <row r="22" spans="3:46" x14ac:dyDescent="0.25">
      <c r="C22" s="2">
        <f t="shared" si="0"/>
        <v>18</v>
      </c>
      <c r="D22" s="3">
        <v>0.93418085511409044</v>
      </c>
      <c r="E22" s="3">
        <v>0.52720049996956586</v>
      </c>
      <c r="H22" s="2">
        <f t="shared" si="1"/>
        <v>18</v>
      </c>
      <c r="I22" s="3">
        <v>0.95179639459008969</v>
      </c>
      <c r="J22" s="3">
        <v>0.61387782259502877</v>
      </c>
      <c r="M22" s="2">
        <f t="shared" si="2"/>
        <v>18</v>
      </c>
      <c r="N22" s="3">
        <v>0.96705382208082158</v>
      </c>
      <c r="O22" s="3">
        <v>0.66057191323634612</v>
      </c>
      <c r="Q22" s="2">
        <f t="shared" si="3"/>
        <v>18</v>
      </c>
      <c r="R22" s="3">
        <v>0.90585642879592543</v>
      </c>
      <c r="S22" s="3">
        <v>0.69064017982943171</v>
      </c>
      <c r="U22" s="2">
        <f t="shared" si="4"/>
        <v>18</v>
      </c>
      <c r="V22" s="3">
        <v>1.5182036031579979E-2</v>
      </c>
      <c r="W22" s="3">
        <v>0.10328630616162759</v>
      </c>
      <c r="Y22" s="2">
        <f t="shared" si="5"/>
        <v>18</v>
      </c>
      <c r="Z22" s="3">
        <v>9.1389457530292161E-3</v>
      </c>
      <c r="AA22" s="3">
        <v>0.117986378761315</v>
      </c>
      <c r="AC22" s="2">
        <f t="shared" si="6"/>
        <v>18</v>
      </c>
      <c r="AD22" s="3">
        <v>2.2058495320335589E-2</v>
      </c>
      <c r="AE22" s="3">
        <v>9.1326566848252674E-2</v>
      </c>
      <c r="AH22" s="2">
        <f t="shared" si="7"/>
        <v>18</v>
      </c>
      <c r="AI22" s="3">
        <v>0.94745703865263975</v>
      </c>
      <c r="AJ22" s="3">
        <v>0.65213060930063704</v>
      </c>
      <c r="AM22" s="2">
        <f t="shared" si="8"/>
        <v>18</v>
      </c>
      <c r="AN22" s="3">
        <v>0.1190566414304584</v>
      </c>
      <c r="AO22" s="3">
        <v>0.29201141261772301</v>
      </c>
      <c r="AR22" s="2">
        <f t="shared" si="9"/>
        <v>18</v>
      </c>
      <c r="AS22" s="3">
        <v>8.2465725949413093E-2</v>
      </c>
      <c r="AT22" s="3">
        <v>0.22775780337315041</v>
      </c>
    </row>
    <row r="23" spans="3:46" x14ac:dyDescent="0.25">
      <c r="C23" s="2">
        <f t="shared" si="0"/>
        <v>19</v>
      </c>
      <c r="D23" s="3">
        <v>0.93049973219886795</v>
      </c>
      <c r="E23" s="3">
        <v>0.57702293203320476</v>
      </c>
      <c r="H23" s="2">
        <f t="shared" si="1"/>
        <v>19</v>
      </c>
      <c r="I23" s="3">
        <v>0.95007276348837943</v>
      </c>
      <c r="J23" s="3">
        <v>0.67092602974066218</v>
      </c>
      <c r="M23" s="2">
        <f t="shared" si="2"/>
        <v>19</v>
      </c>
      <c r="N23" s="3">
        <v>0.96842298205967614</v>
      </c>
      <c r="O23" s="3">
        <v>0.65680346391451083</v>
      </c>
      <c r="Q23" s="2">
        <f t="shared" si="3"/>
        <v>19</v>
      </c>
      <c r="R23" s="3">
        <v>0.90224972257893765</v>
      </c>
      <c r="S23" s="3">
        <v>0.60318153309996181</v>
      </c>
      <c r="U23" s="2">
        <f t="shared" si="4"/>
        <v>19</v>
      </c>
      <c r="V23" s="3">
        <v>1.48815956325301E-2</v>
      </c>
      <c r="W23" s="3">
        <v>0.1021515480443403</v>
      </c>
      <c r="Y23" s="2">
        <f t="shared" si="5"/>
        <v>19</v>
      </c>
      <c r="Z23" s="3">
        <v>1.0084064008588359E-2</v>
      </c>
      <c r="AA23" s="3">
        <v>0.1110758473543141</v>
      </c>
      <c r="AC23" s="2">
        <f t="shared" si="6"/>
        <v>19</v>
      </c>
      <c r="AD23" s="3">
        <v>2.730677571248585E-2</v>
      </c>
      <c r="AE23" s="3">
        <v>0.1003024475088593</v>
      </c>
      <c r="AH23" s="2">
        <f t="shared" si="7"/>
        <v>19</v>
      </c>
      <c r="AI23" s="3">
        <v>0.94775393662384277</v>
      </c>
      <c r="AJ23" s="3">
        <v>0.63138559963267504</v>
      </c>
      <c r="AM23" s="2">
        <f t="shared" si="8"/>
        <v>19</v>
      </c>
      <c r="AN23" s="3">
        <v>0.1170426397950606</v>
      </c>
      <c r="AO23" s="3">
        <v>0.31211045796856152</v>
      </c>
      <c r="AR23" s="2">
        <f t="shared" si="9"/>
        <v>19</v>
      </c>
      <c r="AS23" s="3">
        <v>8.1284535638414881E-2</v>
      </c>
      <c r="AT23" s="3">
        <v>0.2249461185399371</v>
      </c>
    </row>
    <row r="24" spans="3:46" x14ac:dyDescent="0.25">
      <c r="C24" s="2">
        <f t="shared" si="0"/>
        <v>20</v>
      </c>
      <c r="D24" s="3">
        <v>0.93413281744519472</v>
      </c>
      <c r="E24" s="3">
        <v>0.56586971018071774</v>
      </c>
      <c r="H24" s="2">
        <f t="shared" si="1"/>
        <v>20</v>
      </c>
      <c r="I24" s="3">
        <v>0.95252487816233222</v>
      </c>
      <c r="J24" s="3">
        <v>0.64708949151819772</v>
      </c>
      <c r="M24" s="2">
        <f t="shared" si="2"/>
        <v>20</v>
      </c>
      <c r="N24" s="3">
        <v>0.96541496944695859</v>
      </c>
      <c r="O24" s="3">
        <v>0.64701515331587733</v>
      </c>
      <c r="Q24" s="2">
        <f t="shared" si="3"/>
        <v>20</v>
      </c>
      <c r="R24" s="3">
        <v>0.91726800135491149</v>
      </c>
      <c r="S24" s="3">
        <v>0.61267752326283165</v>
      </c>
      <c r="U24" s="2">
        <f t="shared" si="4"/>
        <v>20</v>
      </c>
      <c r="V24" s="3">
        <v>1.507075257437346E-2</v>
      </c>
      <c r="W24" s="3">
        <v>0.10130090434442909</v>
      </c>
      <c r="Y24" s="2">
        <f t="shared" si="5"/>
        <v>20</v>
      </c>
      <c r="Z24" s="3">
        <v>9.4343814192197409E-3</v>
      </c>
      <c r="AA24" s="3">
        <v>0.10359555667566971</v>
      </c>
      <c r="AC24" s="2">
        <f t="shared" si="6"/>
        <v>20</v>
      </c>
      <c r="AD24" s="3">
        <v>2.135982430656462E-2</v>
      </c>
      <c r="AE24" s="3">
        <v>0.11239124195655489</v>
      </c>
      <c r="AH24" s="2">
        <f t="shared" si="7"/>
        <v>20</v>
      </c>
      <c r="AI24" s="3">
        <v>0.94822046642134838</v>
      </c>
      <c r="AJ24" s="3">
        <v>0.69353925357839019</v>
      </c>
      <c r="AM24" s="2">
        <f t="shared" si="8"/>
        <v>20</v>
      </c>
      <c r="AN24" s="3">
        <v>0.1170295318423671</v>
      </c>
      <c r="AO24" s="3">
        <v>0.30995721028871059</v>
      </c>
      <c r="AR24" s="2">
        <f t="shared" si="9"/>
        <v>20</v>
      </c>
      <c r="AS24" s="3">
        <v>8.2756239960734349E-2</v>
      </c>
      <c r="AT24" s="3">
        <v>0.2251606878609029</v>
      </c>
    </row>
    <row r="25" spans="3:46" x14ac:dyDescent="0.25">
      <c r="C25" s="2">
        <f t="shared" si="0"/>
        <v>21</v>
      </c>
      <c r="D25" s="3">
        <v>0.93196644348340651</v>
      </c>
      <c r="E25" s="3">
        <v>0.58594064860737916</v>
      </c>
      <c r="H25" s="2">
        <f t="shared" si="1"/>
        <v>21</v>
      </c>
      <c r="I25" s="3">
        <v>0.95156988259420594</v>
      </c>
      <c r="J25" s="3">
        <v>0.62155754559636966</v>
      </c>
      <c r="M25" s="2">
        <f t="shared" si="2"/>
        <v>21</v>
      </c>
      <c r="N25" s="3">
        <v>0.96706089680873031</v>
      </c>
      <c r="O25" s="3">
        <v>0.63699481735453878</v>
      </c>
      <c r="Q25" s="2"/>
      <c r="R25" s="3"/>
      <c r="S25" s="3"/>
      <c r="AC25" s="2"/>
      <c r="AD25" s="3"/>
      <c r="AE25" s="3"/>
      <c r="AH25" s="2">
        <f t="shared" si="7"/>
        <v>21</v>
      </c>
      <c r="AI25" s="3">
        <v>0.94931379914042635</v>
      </c>
      <c r="AJ25" s="3">
        <v>0.62472045871967519</v>
      </c>
      <c r="AM25" s="2">
        <f t="shared" si="8"/>
        <v>21</v>
      </c>
      <c r="AN25" s="3">
        <v>0.1159687288999377</v>
      </c>
      <c r="AO25" s="3">
        <v>0.3253760936579731</v>
      </c>
      <c r="AR25" s="2">
        <f t="shared" si="9"/>
        <v>21</v>
      </c>
      <c r="AS25" s="3">
        <v>8.2789932906881553E-2</v>
      </c>
      <c r="AT25" s="3">
        <v>0.22213151164887629</v>
      </c>
    </row>
    <row r="26" spans="3:46" x14ac:dyDescent="0.25">
      <c r="C26" s="2">
        <f t="shared" si="0"/>
        <v>22</v>
      </c>
      <c r="D26" s="3">
        <v>0.9349416306825481</v>
      </c>
      <c r="E26" s="3">
        <v>0.52327771543121337</v>
      </c>
      <c r="H26" s="2">
        <f t="shared" si="1"/>
        <v>22</v>
      </c>
      <c r="I26" s="3">
        <v>0.95061182091821284</v>
      </c>
      <c r="J26" s="3">
        <v>0.65686887250701631</v>
      </c>
      <c r="M26" s="2">
        <f t="shared" si="2"/>
        <v>22</v>
      </c>
      <c r="N26" s="3">
        <v>0.96837786313145813</v>
      </c>
      <c r="O26" s="3">
        <v>0.64759840164855664</v>
      </c>
      <c r="Q26" s="2"/>
      <c r="R26" s="3"/>
      <c r="S26" s="3"/>
      <c r="AC26" s="2"/>
      <c r="AD26" s="3"/>
      <c r="AE26" s="3"/>
      <c r="AH26" s="2">
        <f t="shared" si="7"/>
        <v>22</v>
      </c>
      <c r="AI26" s="3">
        <v>0.94756894863843066</v>
      </c>
      <c r="AJ26" s="3">
        <v>0.66667210354049744</v>
      </c>
      <c r="AM26" s="2">
        <f t="shared" si="8"/>
        <v>22</v>
      </c>
      <c r="AN26" s="3">
        <v>0.1188156322728026</v>
      </c>
      <c r="AO26" s="3">
        <v>0.30442573730136491</v>
      </c>
      <c r="AR26" s="2">
        <f t="shared" si="9"/>
        <v>22</v>
      </c>
      <c r="AS26" s="3">
        <v>8.1020708579676914E-2</v>
      </c>
      <c r="AT26" s="3">
        <v>0.21822296232072161</v>
      </c>
    </row>
    <row r="27" spans="3:46" x14ac:dyDescent="0.25">
      <c r="C27" s="2">
        <f t="shared" si="0"/>
        <v>23</v>
      </c>
      <c r="D27" s="3">
        <v>0.93465365204112694</v>
      </c>
      <c r="E27" s="3">
        <v>0.51881384575003675</v>
      </c>
      <c r="H27" s="2">
        <f t="shared" si="1"/>
        <v>23</v>
      </c>
      <c r="I27" s="3">
        <v>0.95070443132987481</v>
      </c>
      <c r="J27" s="3">
        <v>0.65923397279026807</v>
      </c>
      <c r="M27" s="2">
        <f t="shared" si="2"/>
        <v>23</v>
      </c>
      <c r="N27" s="3">
        <v>0.96880271632125947</v>
      </c>
      <c r="O27" s="3">
        <v>0.66406028222756097</v>
      </c>
      <c r="Q27" s="2" t="s">
        <v>2</v>
      </c>
      <c r="R27" s="3">
        <f>AVERAGE(R5:R24)</f>
        <v>0.91952186662243096</v>
      </c>
      <c r="S27" s="3">
        <f>AVERAGE(S5:S24)</f>
        <v>0.65549279340980349</v>
      </c>
      <c r="U27" s="2" t="s">
        <v>2</v>
      </c>
      <c r="V27" s="3">
        <f>AVERAGE(V5:V24)</f>
        <v>1.4995960212204068E-2</v>
      </c>
      <c r="W27" s="8">
        <f>AVERAGE(W5:W24)</f>
        <v>0.10315335131989704</v>
      </c>
      <c r="Y27" s="2" t="s">
        <v>2</v>
      </c>
      <c r="Z27" s="3">
        <f>AVERAGE(Z5:Z24)</f>
        <v>1.0121142151391774E-2</v>
      </c>
      <c r="AA27" s="8">
        <f>AVERAGE(AA5:AA24)</f>
        <v>0.10811159419403238</v>
      </c>
      <c r="AC27" s="2" t="s">
        <v>2</v>
      </c>
      <c r="AD27" s="3">
        <f>AVERAGE(AD5:AD24)</f>
        <v>2.3085148434377999E-2</v>
      </c>
      <c r="AE27" s="8">
        <f>AVERAGE(AE5:AE24)</f>
        <v>0.10292752024531801</v>
      </c>
      <c r="AH27" s="2">
        <f t="shared" si="7"/>
        <v>23</v>
      </c>
      <c r="AI27" s="3">
        <v>0.94927941087257661</v>
      </c>
      <c r="AJ27" s="3">
        <v>0.64131762871406184</v>
      </c>
      <c r="AM27" s="2">
        <f t="shared" si="8"/>
        <v>23</v>
      </c>
      <c r="AN27" s="3">
        <v>0.11645404150536651</v>
      </c>
      <c r="AO27" s="3">
        <v>0.31879587372270279</v>
      </c>
      <c r="AR27" s="2">
        <f t="shared" si="9"/>
        <v>23</v>
      </c>
      <c r="AS27" s="3">
        <v>8.1844616988188068E-2</v>
      </c>
      <c r="AT27" s="3">
        <v>0.22593443927629869</v>
      </c>
    </row>
    <row r="28" spans="3:46" x14ac:dyDescent="0.25">
      <c r="C28" s="2">
        <f t="shared" si="0"/>
        <v>24</v>
      </c>
      <c r="D28" s="3">
        <v>0.93403251358938688</v>
      </c>
      <c r="E28" s="3">
        <v>0.54447087613979428</v>
      </c>
      <c r="H28" s="2">
        <f t="shared" si="1"/>
        <v>24</v>
      </c>
      <c r="I28" s="3">
        <v>0.95381421557342827</v>
      </c>
      <c r="J28" s="3">
        <v>0.61945516198522554</v>
      </c>
      <c r="M28" s="2">
        <f t="shared" si="2"/>
        <v>24</v>
      </c>
      <c r="N28" s="3">
        <v>0.96649378793082474</v>
      </c>
      <c r="O28" s="3">
        <v>0.62467345504139926</v>
      </c>
      <c r="Q28" s="2" t="s">
        <v>3</v>
      </c>
      <c r="R28" s="3">
        <f>_xlfn.STDEV.S(R5:R24)</f>
        <v>1.0756227068956514E-2</v>
      </c>
      <c r="S28" s="3">
        <f>_xlfn.STDEV.S(S5:S24)</f>
        <v>3.2077340951335034E-2</v>
      </c>
      <c r="U28" s="2" t="s">
        <v>3</v>
      </c>
      <c r="V28" s="3">
        <f>_xlfn.STDEV.S(V5:V24)</f>
        <v>2.2073866956576926E-4</v>
      </c>
      <c r="W28" s="3">
        <f>_xlfn.STDEV.S(W5:W24)</f>
        <v>5.116401957549685E-3</v>
      </c>
      <c r="Y28" s="2" t="s">
        <v>3</v>
      </c>
      <c r="Z28" s="3">
        <f>_xlfn.STDEV.S(Z5:Z24)</f>
        <v>5.8977473093686837E-4</v>
      </c>
      <c r="AA28" s="3">
        <f>_xlfn.STDEV.S(AA5:AA24)</f>
        <v>7.6566451489672831E-3</v>
      </c>
      <c r="AC28" s="2" t="s">
        <v>3</v>
      </c>
      <c r="AD28" s="3">
        <f>_xlfn.STDEV.S(AD5:AD24)</f>
        <v>2.7429023543521754E-3</v>
      </c>
      <c r="AE28" s="3">
        <f>_xlfn.STDEV.S(AE5:AE24)</f>
        <v>9.3603599161350207E-3</v>
      </c>
      <c r="AH28" s="2">
        <f t="shared" si="7"/>
        <v>24</v>
      </c>
      <c r="AI28" s="3">
        <v>0.9515021068214562</v>
      </c>
      <c r="AJ28" s="3">
        <v>0.63518254619664005</v>
      </c>
      <c r="AM28" s="2">
        <f t="shared" si="8"/>
        <v>24</v>
      </c>
      <c r="AN28" s="3">
        <v>0.1157431253931244</v>
      </c>
      <c r="AO28" s="3">
        <v>0.31943845407734389</v>
      </c>
      <c r="AR28" s="2">
        <f t="shared" si="9"/>
        <v>24</v>
      </c>
      <c r="AS28" s="3">
        <v>8.2173262857609272E-2</v>
      </c>
      <c r="AT28" s="3">
        <v>0.21537597522765939</v>
      </c>
    </row>
    <row r="29" spans="3:46" x14ac:dyDescent="0.25">
      <c r="C29" s="2">
        <f t="shared" si="0"/>
        <v>25</v>
      </c>
      <c r="D29" s="3">
        <v>0.93348132922816696</v>
      </c>
      <c r="E29" s="3">
        <v>0.540155014366548</v>
      </c>
      <c r="H29" s="2">
        <f t="shared" si="1"/>
        <v>25</v>
      </c>
      <c r="I29" s="3">
        <v>0.95131418094314424</v>
      </c>
      <c r="J29" s="3">
        <v>0.62156571497581037</v>
      </c>
      <c r="M29" s="2">
        <f t="shared" si="2"/>
        <v>25</v>
      </c>
      <c r="N29" s="3">
        <v>0.96864685132448114</v>
      </c>
      <c r="O29" s="3">
        <v>0.60215066964549391</v>
      </c>
      <c r="Q29" s="2"/>
      <c r="R29" s="3"/>
      <c r="S29" s="3"/>
      <c r="AH29" s="2">
        <f t="shared" si="7"/>
        <v>25</v>
      </c>
      <c r="AI29" s="3">
        <v>0.95079891183675846</v>
      </c>
      <c r="AJ29" s="3">
        <v>0.62709149935300168</v>
      </c>
      <c r="AM29" s="2">
        <f t="shared" si="8"/>
        <v>25</v>
      </c>
      <c r="AN29" s="3">
        <v>0.11867626165435349</v>
      </c>
      <c r="AO29" s="3">
        <v>0.3004675508345675</v>
      </c>
      <c r="AR29" s="2">
        <f t="shared" si="9"/>
        <v>25</v>
      </c>
      <c r="AS29" s="3">
        <v>8.3103598191252098E-2</v>
      </c>
      <c r="AT29" s="3">
        <v>0.21896354956737649</v>
      </c>
    </row>
    <row r="30" spans="3:46" x14ac:dyDescent="0.25">
      <c r="C30" s="2">
        <f t="shared" si="0"/>
        <v>26</v>
      </c>
      <c r="D30" s="3">
        <v>0.93229441693593562</v>
      </c>
      <c r="E30" s="3">
        <v>0.55574976160948963</v>
      </c>
      <c r="H30" s="2">
        <f t="shared" si="1"/>
        <v>26</v>
      </c>
      <c r="I30" s="3">
        <v>0.95147010123595988</v>
      </c>
      <c r="J30" s="3">
        <v>0.66045691000948448</v>
      </c>
      <c r="M30" s="2">
        <f t="shared" si="2"/>
        <v>26</v>
      </c>
      <c r="N30" s="3">
        <v>0.969671800776857</v>
      </c>
      <c r="O30" s="3">
        <v>0.65465714872092806</v>
      </c>
      <c r="Q30" s="2"/>
      <c r="R30" s="3"/>
      <c r="S30" s="3"/>
      <c r="AH30" s="2">
        <f t="shared" si="7"/>
        <v>26</v>
      </c>
      <c r="AI30" s="3">
        <v>0.94856625043000042</v>
      </c>
      <c r="AJ30" s="3">
        <v>0.66241752296418577</v>
      </c>
      <c r="AM30" s="2">
        <f t="shared" si="8"/>
        <v>26</v>
      </c>
      <c r="AN30" s="3">
        <v>0.1169732797623813</v>
      </c>
      <c r="AO30" s="3">
        <v>0.3032128295097809</v>
      </c>
      <c r="AR30" s="2">
        <f t="shared" si="9"/>
        <v>26</v>
      </c>
      <c r="AS30" s="3">
        <v>8.3415777895986545E-2</v>
      </c>
      <c r="AT30" s="3">
        <v>0.21674506623377729</v>
      </c>
    </row>
    <row r="31" spans="3:46" x14ac:dyDescent="0.25">
      <c r="C31" s="2">
        <f t="shared" si="0"/>
        <v>27</v>
      </c>
      <c r="D31" s="3">
        <v>0.93213551916304493</v>
      </c>
      <c r="E31" s="3">
        <v>0.57913550999125896</v>
      </c>
      <c r="H31" s="2">
        <f t="shared" si="1"/>
        <v>27</v>
      </c>
      <c r="I31" s="3">
        <v>0.95224297206722253</v>
      </c>
      <c r="J31" s="3">
        <v>0.63145951918685972</v>
      </c>
      <c r="M31" s="2">
        <f t="shared" si="2"/>
        <v>27</v>
      </c>
      <c r="N31" s="3">
        <v>0.97001840884810031</v>
      </c>
      <c r="O31" s="3">
        <v>0.60428224392327556</v>
      </c>
      <c r="Q31" s="2"/>
      <c r="R31" s="3"/>
      <c r="S31" s="3"/>
      <c r="AH31" s="2">
        <f t="shared" si="7"/>
        <v>27</v>
      </c>
      <c r="AI31" s="3">
        <v>0.94916909696737206</v>
      </c>
      <c r="AJ31" s="3">
        <v>0.64024763553481212</v>
      </c>
      <c r="AM31" s="2">
        <f t="shared" si="8"/>
        <v>27</v>
      </c>
      <c r="AN31" s="3">
        <v>0.1163453991392718</v>
      </c>
      <c r="AO31" s="3">
        <v>0.32424540470377</v>
      </c>
      <c r="AR31" s="2">
        <f t="shared" si="9"/>
        <v>27</v>
      </c>
      <c r="AS31" s="3">
        <v>8.199141602551098E-2</v>
      </c>
      <c r="AT31" s="3">
        <v>0.22104538512261029</v>
      </c>
    </row>
    <row r="32" spans="3:46" x14ac:dyDescent="0.25">
      <c r="C32" s="2">
        <f t="shared" si="0"/>
        <v>28</v>
      </c>
      <c r="D32" s="3">
        <v>0.93683955576202083</v>
      </c>
      <c r="E32" s="3">
        <v>0.46533108661005268</v>
      </c>
      <c r="H32" s="2">
        <f t="shared" si="1"/>
        <v>28</v>
      </c>
      <c r="I32" s="3">
        <v>0.95222040190024693</v>
      </c>
      <c r="J32" s="3">
        <v>0.64038552491857614</v>
      </c>
      <c r="M32" s="2">
        <f t="shared" si="2"/>
        <v>28</v>
      </c>
      <c r="N32" s="3">
        <v>0.96749575750699623</v>
      </c>
      <c r="O32" s="3">
        <v>0.65759979901366417</v>
      </c>
      <c r="Q32" s="2"/>
      <c r="R32" s="3"/>
      <c r="S32" s="3"/>
      <c r="AH32" s="2">
        <f t="shared" si="7"/>
        <v>28</v>
      </c>
      <c r="AI32" s="3">
        <v>0.95126590667618927</v>
      </c>
      <c r="AJ32" s="3">
        <v>0.63468850809580535</v>
      </c>
      <c r="AM32" s="2">
        <f t="shared" si="8"/>
        <v>28</v>
      </c>
      <c r="AN32" s="3">
        <v>0.11644616566050631</v>
      </c>
      <c r="AO32" s="3">
        <v>0.31759852383906773</v>
      </c>
      <c r="AR32" s="2">
        <f t="shared" si="9"/>
        <v>28</v>
      </c>
      <c r="AS32" s="3">
        <v>8.1993014509199463E-2</v>
      </c>
      <c r="AT32" s="3">
        <v>0.22662824984082541</v>
      </c>
    </row>
    <row r="33" spans="3:46" x14ac:dyDescent="0.25">
      <c r="C33" s="2">
        <f t="shared" si="0"/>
        <v>29</v>
      </c>
      <c r="D33" s="3">
        <v>0.93622872283596204</v>
      </c>
      <c r="E33" s="3">
        <v>0.53001236721703682</v>
      </c>
      <c r="H33" s="2">
        <f t="shared" si="1"/>
        <v>29</v>
      </c>
      <c r="I33" s="3">
        <v>0.95095638666022997</v>
      </c>
      <c r="J33" s="3">
        <v>0.65931224638203723</v>
      </c>
      <c r="M33" s="2">
        <f t="shared" si="2"/>
        <v>29</v>
      </c>
      <c r="N33" s="3">
        <v>0.96966002835021781</v>
      </c>
      <c r="O33" s="3">
        <v>0.62605676163174528</v>
      </c>
      <c r="Q33" s="2"/>
      <c r="R33" s="3"/>
      <c r="S33" s="3"/>
      <c r="AH33" s="2">
        <f t="shared" si="7"/>
        <v>29</v>
      </c>
      <c r="AI33" s="3">
        <v>0.94801919875087393</v>
      </c>
      <c r="AJ33" s="3">
        <v>0.63510125010181251</v>
      </c>
      <c r="AM33" s="2">
        <f t="shared" si="8"/>
        <v>29</v>
      </c>
      <c r="AN33" s="3">
        <v>0.11672428402742439</v>
      </c>
      <c r="AO33" s="3">
        <v>0.31902442548075549</v>
      </c>
      <c r="AR33" s="2">
        <f t="shared" si="9"/>
        <v>29</v>
      </c>
      <c r="AS33" s="3">
        <v>8.2309728202983323E-2</v>
      </c>
      <c r="AT33" s="3">
        <v>0.22590961366287871</v>
      </c>
    </row>
    <row r="34" spans="3:46" x14ac:dyDescent="0.25">
      <c r="C34" s="2">
        <f t="shared" si="0"/>
        <v>30</v>
      </c>
      <c r="D34" s="3">
        <v>0.93418677295100128</v>
      </c>
      <c r="E34" s="3">
        <v>0.49760249069208312</v>
      </c>
      <c r="H34" s="2">
        <f t="shared" si="1"/>
        <v>30</v>
      </c>
      <c r="I34" s="3">
        <v>0.94988532577884655</v>
      </c>
      <c r="J34" s="3">
        <v>0.67417057297540284</v>
      </c>
      <c r="M34" s="2">
        <f t="shared" si="2"/>
        <v>30</v>
      </c>
      <c r="N34" s="3">
        <v>0.97011070399065524</v>
      </c>
      <c r="O34" s="3">
        <v>0.61770117800353197</v>
      </c>
      <c r="Q34" s="2"/>
      <c r="R34" s="3"/>
      <c r="S34" s="3"/>
      <c r="AH34" s="2">
        <f t="shared" si="7"/>
        <v>30</v>
      </c>
      <c r="AI34" s="3">
        <v>0.94840673758908034</v>
      </c>
      <c r="AJ34" s="3">
        <v>0.63280636724155181</v>
      </c>
      <c r="AM34" s="2">
        <f t="shared" si="8"/>
        <v>30</v>
      </c>
      <c r="AN34" s="3">
        <v>0.1169542614656538</v>
      </c>
      <c r="AO34" s="3">
        <v>0.32529631093429251</v>
      </c>
      <c r="AR34" s="2">
        <f t="shared" si="9"/>
        <v>30</v>
      </c>
      <c r="AS34" s="3">
        <v>8.1605759551974022E-2</v>
      </c>
      <c r="AT34" s="3">
        <v>0.22718560267952981</v>
      </c>
    </row>
    <row r="35" spans="3:46" x14ac:dyDescent="0.25">
      <c r="C35" s="2">
        <f t="shared" si="0"/>
        <v>31</v>
      </c>
      <c r="D35" s="3">
        <v>0.93669604220771152</v>
      </c>
      <c r="E35" s="3">
        <v>0.48137648398110922</v>
      </c>
      <c r="H35" s="2">
        <f t="shared" si="1"/>
        <v>31</v>
      </c>
      <c r="I35" s="3">
        <v>0.95016447265366044</v>
      </c>
      <c r="J35" s="3">
        <v>0.67312707425646479</v>
      </c>
      <c r="M35" s="2">
        <f t="shared" si="2"/>
        <v>31</v>
      </c>
      <c r="N35" s="3">
        <v>0.96684736221410073</v>
      </c>
      <c r="O35" s="3">
        <v>0.64167312986793201</v>
      </c>
      <c r="Q35" s="2"/>
      <c r="R35" s="3"/>
      <c r="S35" s="3"/>
      <c r="AH35" s="2">
        <f t="shared" si="7"/>
        <v>31</v>
      </c>
      <c r="AI35" s="3">
        <v>0.94897277585487816</v>
      </c>
      <c r="AJ35" s="3">
        <v>0.63271904361202025</v>
      </c>
      <c r="AM35" s="2">
        <f t="shared" si="8"/>
        <v>31</v>
      </c>
      <c r="AN35" s="3">
        <v>0.1171298554338379</v>
      </c>
      <c r="AO35" s="3">
        <v>0.30882175983954802</v>
      </c>
      <c r="AR35" s="2">
        <f t="shared" si="9"/>
        <v>31</v>
      </c>
      <c r="AS35" s="3">
        <v>8.0857996013291869E-2</v>
      </c>
      <c r="AT35" s="3">
        <v>0.23442192452121891</v>
      </c>
    </row>
    <row r="36" spans="3:46" x14ac:dyDescent="0.25">
      <c r="C36" s="2">
        <f t="shared" si="0"/>
        <v>32</v>
      </c>
      <c r="D36" s="3">
        <v>0.93668554591666164</v>
      </c>
      <c r="E36" s="3">
        <v>0.50102505212693771</v>
      </c>
      <c r="H36" s="2">
        <f t="shared" si="1"/>
        <v>32</v>
      </c>
      <c r="I36" s="3">
        <v>0.9491562155757538</v>
      </c>
      <c r="J36" s="3">
        <v>0.68213548431407811</v>
      </c>
      <c r="M36" s="2">
        <f t="shared" si="2"/>
        <v>32</v>
      </c>
      <c r="N36" s="3">
        <v>0.96719949468444144</v>
      </c>
      <c r="O36" s="3">
        <v>0.67839377188742023</v>
      </c>
      <c r="Q36" s="2"/>
      <c r="R36" s="3"/>
      <c r="S36" s="3"/>
      <c r="AH36" s="2">
        <f t="shared" si="7"/>
        <v>32</v>
      </c>
      <c r="AI36" s="3">
        <v>0.94989485658998185</v>
      </c>
      <c r="AJ36" s="3">
        <v>0.62461230834730297</v>
      </c>
      <c r="AM36" s="2">
        <f t="shared" si="8"/>
        <v>32</v>
      </c>
      <c r="AN36" s="3">
        <v>0.11464950412351831</v>
      </c>
      <c r="AO36" s="3">
        <v>0.31775017191690352</v>
      </c>
      <c r="AR36" s="2">
        <f t="shared" si="9"/>
        <v>32</v>
      </c>
      <c r="AS36" s="3">
        <v>8.268426659852357E-2</v>
      </c>
      <c r="AT36" s="3">
        <v>0.214568109380808</v>
      </c>
    </row>
    <row r="37" spans="3:46" x14ac:dyDescent="0.25">
      <c r="C37" s="2">
        <f t="shared" si="0"/>
        <v>33</v>
      </c>
      <c r="D37" s="3">
        <v>0.93096750356178282</v>
      </c>
      <c r="E37" s="3">
        <v>0.60075066336509719</v>
      </c>
      <c r="H37" s="2">
        <f t="shared" si="1"/>
        <v>33</v>
      </c>
      <c r="I37" s="3">
        <v>0.95158952902300997</v>
      </c>
      <c r="J37" s="3">
        <v>0.66254879724570159</v>
      </c>
      <c r="M37" s="2">
        <f t="shared" si="2"/>
        <v>33</v>
      </c>
      <c r="N37" s="3">
        <v>0.96705358336396263</v>
      </c>
      <c r="O37" s="3">
        <v>0.61966094306851316</v>
      </c>
      <c r="Q37" s="2"/>
      <c r="R37" s="3"/>
      <c r="S37" s="3"/>
      <c r="AH37" s="2">
        <f t="shared" si="7"/>
        <v>33</v>
      </c>
      <c r="AI37" s="3">
        <v>0.94907260950292616</v>
      </c>
      <c r="AJ37" s="3">
        <v>0.64995189227802974</v>
      </c>
      <c r="AM37" s="2">
        <f t="shared" si="8"/>
        <v>33</v>
      </c>
      <c r="AN37" s="3">
        <v>0.1192575516029472</v>
      </c>
      <c r="AO37" s="3">
        <v>0.30416485167056451</v>
      </c>
      <c r="AR37" s="2">
        <f t="shared" si="9"/>
        <v>33</v>
      </c>
      <c r="AS37" s="3">
        <v>8.251939102818831E-2</v>
      </c>
      <c r="AT37" s="3">
        <v>0.22075695663214909</v>
      </c>
    </row>
    <row r="38" spans="3:46" x14ac:dyDescent="0.25">
      <c r="C38" s="2">
        <f t="shared" si="0"/>
        <v>34</v>
      </c>
      <c r="D38" s="3">
        <v>0.93409511612380902</v>
      </c>
      <c r="E38" s="3">
        <v>0.49445800369783222</v>
      </c>
      <c r="H38" s="2">
        <f t="shared" si="1"/>
        <v>34</v>
      </c>
      <c r="I38" s="3">
        <v>0.95290057406117912</v>
      </c>
      <c r="J38" s="3">
        <v>0.62595058311489304</v>
      </c>
      <c r="M38" s="2">
        <f t="shared" si="2"/>
        <v>34</v>
      </c>
      <c r="N38" s="3">
        <v>0.96605608814051069</v>
      </c>
      <c r="O38" s="3">
        <v>0.6347610026260514</v>
      </c>
      <c r="Q38" s="2"/>
      <c r="R38" s="3"/>
      <c r="S38" s="3"/>
      <c r="AH38" s="2">
        <f t="shared" si="7"/>
        <v>34</v>
      </c>
      <c r="AI38" s="3">
        <v>0.94705888623340939</v>
      </c>
      <c r="AJ38" s="3">
        <v>0.68579049132970538</v>
      </c>
      <c r="AM38" s="2">
        <f t="shared" si="8"/>
        <v>34</v>
      </c>
      <c r="AN38" s="3">
        <v>0.116326574624316</v>
      </c>
      <c r="AO38" s="3">
        <v>0.31101830390379742</v>
      </c>
      <c r="AR38" s="2">
        <f t="shared" si="9"/>
        <v>34</v>
      </c>
      <c r="AS38" s="3">
        <v>8.2179918254379064E-2</v>
      </c>
      <c r="AT38" s="3">
        <v>0.22428725388674131</v>
      </c>
    </row>
    <row r="39" spans="3:46" x14ac:dyDescent="0.25">
      <c r="C39" s="2">
        <f t="shared" si="0"/>
        <v>35</v>
      </c>
      <c r="D39" s="3">
        <v>0.9329979629458488</v>
      </c>
      <c r="E39" s="3">
        <v>0.53382575118169018</v>
      </c>
      <c r="H39" s="2">
        <f t="shared" si="1"/>
        <v>35</v>
      </c>
      <c r="I39" s="3">
        <v>0.95144950224021918</v>
      </c>
      <c r="J39" s="3">
        <v>0.66168153920180028</v>
      </c>
      <c r="M39" s="2">
        <f t="shared" si="2"/>
        <v>35</v>
      </c>
      <c r="N39" s="3">
        <v>0.96387596753140237</v>
      </c>
      <c r="O39" s="3">
        <v>0.66804475102805649</v>
      </c>
      <c r="Q39" s="2"/>
      <c r="R39" s="3"/>
      <c r="S39" s="3"/>
      <c r="AH39" s="2">
        <f t="shared" si="7"/>
        <v>35</v>
      </c>
      <c r="AI39" s="3">
        <v>0.94958304174087971</v>
      </c>
      <c r="AJ39" s="3">
        <v>0.65048634766205182</v>
      </c>
      <c r="AM39" s="2">
        <f t="shared" si="8"/>
        <v>35</v>
      </c>
      <c r="AN39" s="3">
        <v>0.11657180545628169</v>
      </c>
      <c r="AO39" s="3">
        <v>0.32267682431196071</v>
      </c>
      <c r="AR39" s="2">
        <f t="shared" si="9"/>
        <v>35</v>
      </c>
      <c r="AS39" s="3">
        <v>8.434088398931025E-2</v>
      </c>
      <c r="AT39" s="3">
        <v>0.2074504515956096</v>
      </c>
    </row>
    <row r="40" spans="3:46" x14ac:dyDescent="0.25">
      <c r="C40" s="2">
        <f t="shared" si="0"/>
        <v>36</v>
      </c>
      <c r="D40" s="3">
        <v>0.93492244237927935</v>
      </c>
      <c r="E40" s="3">
        <v>0.5154512280322554</v>
      </c>
      <c r="H40" s="2">
        <f t="shared" si="1"/>
        <v>36</v>
      </c>
      <c r="I40" s="3">
        <v>0.95085872281884654</v>
      </c>
      <c r="J40" s="3">
        <v>0.65877402667637974</v>
      </c>
      <c r="M40" s="2">
        <f t="shared" si="2"/>
        <v>36</v>
      </c>
      <c r="N40" s="3">
        <v>0.9666570417754452</v>
      </c>
      <c r="O40" s="3">
        <v>0.64572779773133293</v>
      </c>
      <c r="Q40" s="2"/>
      <c r="R40" s="3"/>
      <c r="S40" s="3"/>
      <c r="AH40" s="2">
        <f t="shared" si="7"/>
        <v>36</v>
      </c>
      <c r="AI40" s="3">
        <v>0.94913214919623734</v>
      </c>
      <c r="AJ40" s="3">
        <v>0.65518227950724151</v>
      </c>
      <c r="AM40" s="2">
        <f t="shared" si="8"/>
        <v>36</v>
      </c>
      <c r="AN40" s="3">
        <v>0.1175172251952756</v>
      </c>
      <c r="AO40" s="3">
        <v>0.29687029675893889</v>
      </c>
      <c r="AR40" s="2">
        <f t="shared" si="9"/>
        <v>36</v>
      </c>
      <c r="AS40" s="3">
        <v>8.1053474524131197E-2</v>
      </c>
      <c r="AT40" s="3">
        <v>0.2234413775313043</v>
      </c>
    </row>
    <row r="41" spans="3:46" x14ac:dyDescent="0.25">
      <c r="C41" s="2">
        <f t="shared" si="0"/>
        <v>37</v>
      </c>
      <c r="D41" s="3">
        <v>0.93335820858374907</v>
      </c>
      <c r="E41" s="3">
        <v>0.51779403398601831</v>
      </c>
      <c r="H41" s="2">
        <f t="shared" si="1"/>
        <v>37</v>
      </c>
      <c r="I41" s="3">
        <v>0.95380200265216897</v>
      </c>
      <c r="J41" s="3">
        <v>0.60822670067763585</v>
      </c>
      <c r="M41" s="2">
        <f t="shared" si="2"/>
        <v>37</v>
      </c>
      <c r="N41" s="3">
        <v>0.96843934500342366</v>
      </c>
      <c r="O41" s="3">
        <v>0.69274380341907627</v>
      </c>
      <c r="Q41" s="2"/>
      <c r="R41" s="3"/>
      <c r="S41" s="3"/>
      <c r="AH41" s="2">
        <f t="shared" si="7"/>
        <v>37</v>
      </c>
      <c r="AI41" s="3">
        <v>0.94985408030840934</v>
      </c>
      <c r="AJ41" s="3">
        <v>0.63504508315405128</v>
      </c>
      <c r="AM41" s="2">
        <f t="shared" si="8"/>
        <v>37</v>
      </c>
      <c r="AN41" s="3">
        <v>0.1163592268528314</v>
      </c>
      <c r="AO41" s="3">
        <v>0.33429847081729869</v>
      </c>
      <c r="AR41" s="2">
        <f t="shared" si="9"/>
        <v>37</v>
      </c>
      <c r="AS41" s="3">
        <v>8.2970175312972821E-2</v>
      </c>
      <c r="AT41" s="3">
        <v>0.21663735395507289</v>
      </c>
    </row>
    <row r="42" spans="3:46" x14ac:dyDescent="0.25">
      <c r="C42" s="2">
        <f t="shared" si="0"/>
        <v>38</v>
      </c>
      <c r="D42" s="3">
        <v>0.93222188335908718</v>
      </c>
      <c r="E42" s="3">
        <v>0.53519174034815009</v>
      </c>
      <c r="H42" s="2">
        <f t="shared" si="1"/>
        <v>38</v>
      </c>
      <c r="I42" s="3">
        <v>0.95067508486409658</v>
      </c>
      <c r="J42" s="3">
        <v>0.67173315570091452</v>
      </c>
      <c r="M42" s="2">
        <f t="shared" si="2"/>
        <v>38</v>
      </c>
      <c r="N42" s="3">
        <v>0.96998048909780143</v>
      </c>
      <c r="O42" s="3">
        <v>0.64411337815721204</v>
      </c>
      <c r="Q42" s="2"/>
      <c r="R42" s="3"/>
      <c r="S42" s="3"/>
      <c r="AH42" s="2">
        <f t="shared" si="7"/>
        <v>38</v>
      </c>
      <c r="AI42" s="3">
        <v>0.94749047901522876</v>
      </c>
      <c r="AJ42" s="3">
        <v>0.65365982615793783</v>
      </c>
      <c r="AM42" s="2">
        <f t="shared" si="8"/>
        <v>38</v>
      </c>
      <c r="AN42" s="3">
        <v>0.1171025183624865</v>
      </c>
      <c r="AO42" s="3">
        <v>0.30969333488200551</v>
      </c>
      <c r="AR42" s="2">
        <f t="shared" si="9"/>
        <v>38</v>
      </c>
      <c r="AS42" s="3">
        <v>8.2391958007001886E-2</v>
      </c>
      <c r="AT42" s="3">
        <v>0.2213559784908905</v>
      </c>
    </row>
    <row r="43" spans="3:46" x14ac:dyDescent="0.25">
      <c r="C43" s="2">
        <f t="shared" si="0"/>
        <v>39</v>
      </c>
      <c r="D43" s="3">
        <v>0.93112826290425421</v>
      </c>
      <c r="E43" s="3">
        <v>0.59889946506826153</v>
      </c>
      <c r="H43" s="2">
        <f t="shared" si="1"/>
        <v>39</v>
      </c>
      <c r="I43" s="3">
        <v>0.95344411522028072</v>
      </c>
      <c r="J43" s="3">
        <v>0.62366652977891113</v>
      </c>
      <c r="M43" s="2">
        <f t="shared" si="2"/>
        <v>39</v>
      </c>
      <c r="N43" s="3">
        <v>0.96805387094207784</v>
      </c>
      <c r="O43" s="3">
        <v>0.65494419522582414</v>
      </c>
      <c r="Q43" s="2"/>
      <c r="R43" s="3"/>
      <c r="S43" s="3"/>
      <c r="AH43" s="2">
        <f t="shared" si="7"/>
        <v>39</v>
      </c>
      <c r="AI43" s="3">
        <v>0.94941351161572984</v>
      </c>
      <c r="AJ43" s="3">
        <v>0.64862303322456505</v>
      </c>
      <c r="AM43" s="2">
        <f t="shared" si="8"/>
        <v>39</v>
      </c>
      <c r="AN43" s="3">
        <v>0.1160097829524077</v>
      </c>
      <c r="AO43" s="3">
        <v>0.31411067341506499</v>
      </c>
      <c r="AR43" s="2">
        <f t="shared" si="9"/>
        <v>39</v>
      </c>
      <c r="AS43" s="3">
        <v>8.22429721964546E-2</v>
      </c>
      <c r="AT43" s="3">
        <v>0.22404168224471041</v>
      </c>
    </row>
    <row r="44" spans="3:46" x14ac:dyDescent="0.25">
      <c r="C44" s="2">
        <f t="shared" si="0"/>
        <v>40</v>
      </c>
      <c r="D44" s="3">
        <v>0.93620238154020852</v>
      </c>
      <c r="E44" s="3">
        <v>0.50785466663418022</v>
      </c>
      <c r="H44" s="2">
        <f t="shared" si="1"/>
        <v>40</v>
      </c>
      <c r="I44" s="3">
        <v>0.95002307317341317</v>
      </c>
      <c r="J44" s="3">
        <v>0.66709565694910156</v>
      </c>
      <c r="M44" s="2">
        <f t="shared" si="2"/>
        <v>40</v>
      </c>
      <c r="N44" s="3">
        <v>0.9677382286555406</v>
      </c>
      <c r="O44" s="3">
        <v>0.64027158040545418</v>
      </c>
      <c r="Q44" s="2"/>
      <c r="R44" s="3"/>
      <c r="S44" s="3"/>
      <c r="AH44" s="2">
        <f t="shared" si="7"/>
        <v>40</v>
      </c>
      <c r="AI44" s="3">
        <v>0.94713217301416419</v>
      </c>
      <c r="AJ44" s="3">
        <v>0.66737832250117057</v>
      </c>
      <c r="AM44" s="2">
        <f t="shared" si="8"/>
        <v>40</v>
      </c>
      <c r="AN44" s="3">
        <v>0.1169842007493667</v>
      </c>
      <c r="AO44" s="3">
        <v>0.3195361200902328</v>
      </c>
      <c r="AR44" s="2">
        <f t="shared" si="9"/>
        <v>40</v>
      </c>
      <c r="AS44" s="3">
        <v>8.1921480878560951E-2</v>
      </c>
      <c r="AT44" s="3">
        <v>0.22349437843421341</v>
      </c>
    </row>
    <row r="45" spans="3:46" x14ac:dyDescent="0.25">
      <c r="C45" s="2">
        <f t="shared" si="0"/>
        <v>41</v>
      </c>
      <c r="D45" s="3">
        <v>0.93572370163635388</v>
      </c>
      <c r="E45" s="3">
        <v>0.52349653196813595</v>
      </c>
      <c r="H45" s="2">
        <f t="shared" si="1"/>
        <v>41</v>
      </c>
      <c r="I45" s="3">
        <v>0.95090755711542396</v>
      </c>
      <c r="J45" s="3">
        <v>0.65934202866357861</v>
      </c>
      <c r="M45" s="2">
        <f t="shared" si="2"/>
        <v>41</v>
      </c>
      <c r="N45" s="3">
        <v>0.96704033425898828</v>
      </c>
      <c r="O45" s="3">
        <v>0.66115814287741448</v>
      </c>
      <c r="Q45" s="2"/>
      <c r="R45" s="3"/>
      <c r="S45" s="3"/>
      <c r="AH45" s="2">
        <f t="shared" si="7"/>
        <v>41</v>
      </c>
      <c r="AI45" s="3">
        <v>0.94955062022533965</v>
      </c>
      <c r="AJ45" s="3">
        <v>0.66217097171706796</v>
      </c>
      <c r="AM45" s="2">
        <f t="shared" si="8"/>
        <v>41</v>
      </c>
      <c r="AN45" s="3">
        <v>0.1156723396802683</v>
      </c>
      <c r="AO45" s="3">
        <v>0.32980129419433779</v>
      </c>
      <c r="AR45" s="2">
        <f t="shared" si="9"/>
        <v>41</v>
      </c>
      <c r="AS45" s="3">
        <v>8.265138180769839E-2</v>
      </c>
      <c r="AT45" s="3">
        <v>0.2185944437724423</v>
      </c>
    </row>
    <row r="46" spans="3:46" x14ac:dyDescent="0.25">
      <c r="C46" s="2">
        <f t="shared" si="0"/>
        <v>42</v>
      </c>
      <c r="D46" s="3">
        <v>0.93236055104093518</v>
      </c>
      <c r="E46" s="3">
        <v>0.55200299023827715</v>
      </c>
      <c r="H46" s="2">
        <f t="shared" si="1"/>
        <v>42</v>
      </c>
      <c r="I46" s="3">
        <v>0.95130469084444014</v>
      </c>
      <c r="J46" s="3">
        <v>0.66645550777495477</v>
      </c>
      <c r="M46" s="2">
        <f t="shared" si="2"/>
        <v>42</v>
      </c>
      <c r="N46" s="3">
        <v>0.96756593276728253</v>
      </c>
      <c r="O46" s="3">
        <v>0.67334101939530366</v>
      </c>
      <c r="Q46" s="2"/>
      <c r="R46" s="3"/>
      <c r="S46" s="3"/>
      <c r="AH46" s="2">
        <f t="shared" si="7"/>
        <v>42</v>
      </c>
      <c r="AI46" s="3">
        <v>0.94945515644551282</v>
      </c>
      <c r="AJ46" s="3">
        <v>0.61884190231559644</v>
      </c>
      <c r="AM46" s="2">
        <f t="shared" si="8"/>
        <v>42</v>
      </c>
      <c r="AN46" s="3">
        <v>0.1192893179719352</v>
      </c>
      <c r="AO46" s="3">
        <v>0.30232087969819471</v>
      </c>
      <c r="AR46" s="2">
        <f t="shared" si="9"/>
        <v>42</v>
      </c>
      <c r="AS46" s="3">
        <v>8.1484548138303636E-2</v>
      </c>
      <c r="AT46" s="3">
        <v>0.2207778386553034</v>
      </c>
    </row>
    <row r="47" spans="3:46" x14ac:dyDescent="0.25">
      <c r="C47" s="2">
        <f t="shared" si="0"/>
        <v>43</v>
      </c>
      <c r="D47" s="3">
        <v>0.93502960562289261</v>
      </c>
      <c r="E47" s="3">
        <v>0.49518945239806239</v>
      </c>
      <c r="H47" s="2">
        <f t="shared" si="1"/>
        <v>43</v>
      </c>
      <c r="I47" s="3">
        <v>0.95036037549560126</v>
      </c>
      <c r="J47" s="3">
        <v>0.6887499196782334</v>
      </c>
      <c r="M47" s="2">
        <f t="shared" si="2"/>
        <v>43</v>
      </c>
      <c r="N47" s="3">
        <v>0.96901333066048068</v>
      </c>
      <c r="O47" s="3">
        <v>0.64908603701423795</v>
      </c>
      <c r="Q47" s="2"/>
      <c r="R47" s="3"/>
      <c r="S47" s="3"/>
      <c r="AH47" s="2">
        <f t="shared" si="7"/>
        <v>43</v>
      </c>
      <c r="AI47" s="3">
        <v>0.9495275389287956</v>
      </c>
      <c r="AJ47" s="3">
        <v>0.60652038798714258</v>
      </c>
      <c r="AM47" s="2">
        <f t="shared" si="8"/>
        <v>43</v>
      </c>
      <c r="AN47" s="3">
        <v>0.1148393825765807</v>
      </c>
      <c r="AO47" s="3">
        <v>0.32812220282649351</v>
      </c>
      <c r="AR47" s="2">
        <f t="shared" si="9"/>
        <v>43</v>
      </c>
      <c r="AS47" s="3">
        <v>8.2216713090806512E-2</v>
      </c>
      <c r="AT47" s="3">
        <v>0.2176719762422053</v>
      </c>
    </row>
    <row r="48" spans="3:46" x14ac:dyDescent="0.25">
      <c r="C48" s="2">
        <f t="shared" si="0"/>
        <v>44</v>
      </c>
      <c r="D48" s="3">
        <v>0.93555439102520521</v>
      </c>
      <c r="E48" s="3">
        <v>0.50969734232608466</v>
      </c>
      <c r="H48" s="2">
        <f t="shared" si="1"/>
        <v>44</v>
      </c>
      <c r="I48" s="3">
        <v>0.95115894732868977</v>
      </c>
      <c r="J48" s="3">
        <v>0.67400105812749556</v>
      </c>
      <c r="M48" s="2">
        <f t="shared" si="2"/>
        <v>44</v>
      </c>
      <c r="N48" s="3">
        <v>0.96775676945242362</v>
      </c>
      <c r="O48" s="3">
        <v>0.65576711279830713</v>
      </c>
      <c r="Q48" s="2"/>
      <c r="R48" s="3"/>
      <c r="S48" s="3"/>
      <c r="AH48" s="2">
        <f t="shared" si="7"/>
        <v>44</v>
      </c>
      <c r="AI48" s="3">
        <v>0.94950923407580956</v>
      </c>
      <c r="AJ48" s="3">
        <v>0.64211990133419727</v>
      </c>
      <c r="AM48" s="2">
        <f t="shared" si="8"/>
        <v>44</v>
      </c>
      <c r="AN48" s="3">
        <v>0.1183066921327932</v>
      </c>
      <c r="AO48" s="3">
        <v>0.31167400605268719</v>
      </c>
      <c r="AR48" s="2">
        <f t="shared" si="9"/>
        <v>44</v>
      </c>
      <c r="AS48" s="3">
        <v>8.1229551364922783E-2</v>
      </c>
      <c r="AT48" s="3">
        <v>0.22558488513671829</v>
      </c>
    </row>
    <row r="49" spans="3:46" x14ac:dyDescent="0.25">
      <c r="C49" s="2">
        <f t="shared" si="0"/>
        <v>45</v>
      </c>
      <c r="D49" s="3">
        <v>0.93424588829822997</v>
      </c>
      <c r="E49" s="3">
        <v>0.52838751723193189</v>
      </c>
      <c r="H49" s="2">
        <f t="shared" si="1"/>
        <v>45</v>
      </c>
      <c r="I49" s="3">
        <v>0.95142097669402881</v>
      </c>
      <c r="J49" s="3">
        <v>0.67184601578768866</v>
      </c>
      <c r="M49" s="2">
        <f t="shared" si="2"/>
        <v>45</v>
      </c>
      <c r="N49" s="3">
        <v>0.96828891765935021</v>
      </c>
      <c r="O49" s="3">
        <v>0.67814163911810921</v>
      </c>
      <c r="Q49" s="2"/>
      <c r="R49" s="3"/>
      <c r="S49" s="3"/>
      <c r="AH49" s="2">
        <f t="shared" si="7"/>
        <v>45</v>
      </c>
      <c r="AI49" s="3">
        <v>0.9499083921940904</v>
      </c>
      <c r="AJ49" s="3">
        <v>0.67279707299537095</v>
      </c>
      <c r="AM49" s="2">
        <f t="shared" si="8"/>
        <v>45</v>
      </c>
      <c r="AN49" s="3">
        <v>0.1181313888372665</v>
      </c>
      <c r="AO49" s="3">
        <v>0.2993634376661844</v>
      </c>
      <c r="AR49" s="2">
        <f t="shared" si="9"/>
        <v>45</v>
      </c>
      <c r="AS49" s="3">
        <v>8.1252399579726312E-2</v>
      </c>
      <c r="AT49" s="3">
        <v>0.22627686644551931</v>
      </c>
    </row>
    <row r="50" spans="3:46" x14ac:dyDescent="0.25">
      <c r="C50" s="2">
        <f t="shared" si="0"/>
        <v>46</v>
      </c>
      <c r="D50" s="3">
        <v>0.9318078711926171</v>
      </c>
      <c r="E50" s="3">
        <v>0.55554552528572498</v>
      </c>
      <c r="H50" s="2">
        <f t="shared" si="1"/>
        <v>46</v>
      </c>
      <c r="I50" s="3">
        <v>0.95160578297007814</v>
      </c>
      <c r="J50" s="3">
        <v>0.6561462463634381</v>
      </c>
      <c r="M50" s="2">
        <f t="shared" si="2"/>
        <v>46</v>
      </c>
      <c r="N50" s="3">
        <v>0.96930009417344143</v>
      </c>
      <c r="O50" s="3">
        <v>0.60727526617801497</v>
      </c>
      <c r="Q50" s="2"/>
      <c r="R50" s="3"/>
      <c r="S50" s="3"/>
      <c r="AH50" s="2">
        <f t="shared" si="7"/>
        <v>46</v>
      </c>
      <c r="AI50" s="3">
        <v>0.9486434871385766</v>
      </c>
      <c r="AJ50" s="3">
        <v>0.66064148960936353</v>
      </c>
      <c r="AM50" s="2">
        <f t="shared" si="8"/>
        <v>46</v>
      </c>
      <c r="AN50" s="3">
        <v>0.11526373697328469</v>
      </c>
      <c r="AO50" s="3">
        <v>0.32834649138557082</v>
      </c>
      <c r="AR50" s="2">
        <f t="shared" si="9"/>
        <v>46</v>
      </c>
      <c r="AS50" s="3">
        <v>8.1913761806771665E-2</v>
      </c>
      <c r="AT50" s="3">
        <v>0.22526419522709509</v>
      </c>
    </row>
    <row r="51" spans="3:46" x14ac:dyDescent="0.25">
      <c r="C51" s="2">
        <f t="shared" si="0"/>
        <v>47</v>
      </c>
      <c r="D51" s="3">
        <v>0.93359166653116532</v>
      </c>
      <c r="E51" s="3">
        <v>0.53308548633171493</v>
      </c>
      <c r="H51" s="2">
        <f t="shared" si="1"/>
        <v>47</v>
      </c>
      <c r="I51" s="3">
        <v>0.95131034032703898</v>
      </c>
      <c r="J51" s="3">
        <v>0.62565473218451251</v>
      </c>
      <c r="M51" s="2">
        <f t="shared" si="2"/>
        <v>47</v>
      </c>
      <c r="N51" s="3">
        <v>0.96898516070522911</v>
      </c>
      <c r="O51" s="3">
        <v>0.61564138999521623</v>
      </c>
      <c r="Q51" s="2"/>
      <c r="R51" s="3"/>
      <c r="S51" s="3"/>
      <c r="AH51" s="2">
        <f t="shared" si="7"/>
        <v>47</v>
      </c>
      <c r="AI51" s="3">
        <v>0.95056760645959915</v>
      </c>
      <c r="AJ51" s="3">
        <v>0.63749684147528407</v>
      </c>
      <c r="AM51" s="2">
        <f t="shared" si="8"/>
        <v>47</v>
      </c>
      <c r="AN51" s="3">
        <v>0.1167540156878106</v>
      </c>
      <c r="AO51" s="3">
        <v>0.31376120183153111</v>
      </c>
      <c r="AR51" s="2">
        <f t="shared" si="9"/>
        <v>47</v>
      </c>
      <c r="AS51" s="3">
        <v>8.2386580208719126E-2</v>
      </c>
      <c r="AT51" s="3">
        <v>0.2183309121651047</v>
      </c>
    </row>
    <row r="52" spans="3:46" x14ac:dyDescent="0.25">
      <c r="C52" s="2">
        <f t="shared" si="0"/>
        <v>48</v>
      </c>
      <c r="D52" s="3">
        <v>0.93352893423435634</v>
      </c>
      <c r="E52" s="3">
        <v>0.51781827477997133</v>
      </c>
      <c r="H52" s="2">
        <f t="shared" si="1"/>
        <v>48</v>
      </c>
      <c r="I52" s="3">
        <v>0.95049903576942163</v>
      </c>
      <c r="J52" s="3">
        <v>0.67470635833973236</v>
      </c>
      <c r="M52" s="2">
        <f t="shared" si="2"/>
        <v>48</v>
      </c>
      <c r="N52" s="3">
        <v>0.9691639735694535</v>
      </c>
      <c r="O52" s="3">
        <v>0.65324580217227091</v>
      </c>
      <c r="Q52" s="2"/>
      <c r="R52" s="3"/>
      <c r="S52" s="3"/>
      <c r="AH52" s="2">
        <f t="shared" si="7"/>
        <v>48</v>
      </c>
      <c r="AI52" s="3">
        <v>0.9491752781596875</v>
      </c>
      <c r="AJ52" s="3">
        <v>0.62266464437681956</v>
      </c>
      <c r="AM52" s="2">
        <f t="shared" si="8"/>
        <v>48</v>
      </c>
      <c r="AN52" s="3">
        <v>0.115755029130523</v>
      </c>
      <c r="AO52" s="3">
        <v>0.316101255139209</v>
      </c>
      <c r="AR52" s="2">
        <f t="shared" si="9"/>
        <v>48</v>
      </c>
      <c r="AS52" s="3">
        <v>8.2620642193867777E-2</v>
      </c>
      <c r="AT52" s="3">
        <v>0.2183574957645468</v>
      </c>
    </row>
    <row r="53" spans="3:46" x14ac:dyDescent="0.25">
      <c r="C53" s="2">
        <f t="shared" si="0"/>
        <v>49</v>
      </c>
      <c r="D53" s="3">
        <v>0.93488696602904964</v>
      </c>
      <c r="E53" s="3">
        <v>0.52126617266258102</v>
      </c>
      <c r="H53" s="2">
        <f t="shared" si="1"/>
        <v>49</v>
      </c>
      <c r="I53" s="3">
        <v>0.95242716781327663</v>
      </c>
      <c r="J53" s="3">
        <v>0.67214288983268911</v>
      </c>
      <c r="M53" s="2">
        <f t="shared" si="2"/>
        <v>49</v>
      </c>
      <c r="N53" s="3">
        <v>0.96380286377543911</v>
      </c>
      <c r="O53" s="3">
        <v>0.6283908719423843</v>
      </c>
      <c r="Q53" s="2"/>
      <c r="R53" s="3"/>
      <c r="S53" s="3"/>
      <c r="AH53" s="2">
        <f t="shared" si="7"/>
        <v>49</v>
      </c>
      <c r="AI53" s="3">
        <v>0.95023491224099565</v>
      </c>
      <c r="AJ53" s="3">
        <v>0.6234164050981541</v>
      </c>
      <c r="AM53" s="2">
        <f t="shared" si="8"/>
        <v>49</v>
      </c>
      <c r="AN53" s="3">
        <v>0.1179774430612817</v>
      </c>
      <c r="AO53" s="3">
        <v>0.31719008723074549</v>
      </c>
      <c r="AR53" s="2">
        <f t="shared" si="9"/>
        <v>49</v>
      </c>
      <c r="AS53" s="3">
        <v>8.317294504866625E-2</v>
      </c>
      <c r="AT53" s="3">
        <v>0.2208504624832697</v>
      </c>
    </row>
    <row r="54" spans="3:46" x14ac:dyDescent="0.25">
      <c r="C54" s="2">
        <f t="shared" si="0"/>
        <v>50</v>
      </c>
      <c r="D54" s="3">
        <v>0.93434855163014841</v>
      </c>
      <c r="E54" s="3">
        <v>0.51138770316234061</v>
      </c>
      <c r="H54" s="2">
        <f t="shared" si="1"/>
        <v>50</v>
      </c>
      <c r="I54" s="3">
        <v>0.95210996402469006</v>
      </c>
      <c r="J54" s="3">
        <v>0.66955852923017856</v>
      </c>
      <c r="M54" s="2">
        <f t="shared" si="2"/>
        <v>50</v>
      </c>
      <c r="N54" s="3">
        <v>0.96876204770486285</v>
      </c>
      <c r="O54" s="3">
        <v>0.62714655469404723</v>
      </c>
      <c r="Q54" s="2"/>
      <c r="R54" s="3"/>
      <c r="S54" s="3"/>
      <c r="AH54" s="2">
        <f t="shared" si="7"/>
        <v>50</v>
      </c>
      <c r="AI54" s="3">
        <v>0.94889179727122863</v>
      </c>
      <c r="AJ54" s="3">
        <v>0.67125972957766566</v>
      </c>
      <c r="AM54" s="2">
        <f t="shared" si="8"/>
        <v>50</v>
      </c>
      <c r="AN54" s="3">
        <v>0.11672725996177399</v>
      </c>
      <c r="AO54" s="3">
        <v>0.31912823714411509</v>
      </c>
      <c r="AR54" s="2">
        <f t="shared" si="9"/>
        <v>50</v>
      </c>
      <c r="AS54" s="3">
        <v>8.2903110305879796E-2</v>
      </c>
      <c r="AT54" s="3">
        <v>0.22718864352021659</v>
      </c>
    </row>
    <row r="56" spans="3:46" x14ac:dyDescent="0.25">
      <c r="C56" s="2" t="s">
        <v>2</v>
      </c>
      <c r="D56" s="3">
        <f>AVERAGE(D5:D54)</f>
        <v>0.93373425241639818</v>
      </c>
      <c r="E56" s="3">
        <f>AVERAGE(E5:E54)</f>
        <v>0.53035897752064753</v>
      </c>
      <c r="H56" s="2" t="s">
        <v>2</v>
      </c>
      <c r="I56" s="3">
        <f>AVERAGE(I5:I24)</f>
        <v>0.95162556154990097</v>
      </c>
      <c r="J56" s="3">
        <f>AVERAGE(J5:J24)</f>
        <v>0.65007658792139944</v>
      </c>
      <c r="M56" s="2" t="s">
        <v>2</v>
      </c>
      <c r="N56" s="3">
        <f>AVERAGE(N5:N24)</f>
        <v>0.96713661663603434</v>
      </c>
      <c r="O56" s="3">
        <f>AVERAGE(O5:O24)</f>
        <v>0.64388109719642528</v>
      </c>
      <c r="AH56" s="2" t="s">
        <v>2</v>
      </c>
      <c r="AI56" s="3">
        <f>AVERAGE(AI5:AI54)</f>
        <v>0.94913546384240977</v>
      </c>
      <c r="AJ56" s="3">
        <f>AVERAGE(AJ5:AJ54)</f>
        <v>0.64518888293192622</v>
      </c>
      <c r="AM56" s="2" t="s">
        <v>2</v>
      </c>
      <c r="AN56" s="3">
        <f>AVERAGE(AN5:AN54)</f>
        <v>0.11699947269078689</v>
      </c>
      <c r="AO56" s="3">
        <f>AVERAGE(AO5:AO54)</f>
        <v>0.31308656886454217</v>
      </c>
      <c r="AR56" s="2" t="s">
        <v>2</v>
      </c>
      <c r="AS56" s="3">
        <f>AVERAGE(AS5:AS54)</f>
        <v>8.2193910513009422E-2</v>
      </c>
      <c r="AT56" s="3">
        <f>AVERAGE(AT5:AT54)</f>
        <v>0.22170521049141068</v>
      </c>
    </row>
    <row r="57" spans="3:46" x14ac:dyDescent="0.25">
      <c r="C57" s="2" t="s">
        <v>3</v>
      </c>
      <c r="D57" s="3">
        <f>_xlfn.STDEV.S(D5:D54)</f>
        <v>1.8378510505159906E-3</v>
      </c>
      <c r="E57" s="3">
        <f>_xlfn.STDEV.S(E5:E54)</f>
        <v>3.6264196769483045E-2</v>
      </c>
      <c r="H57" s="2" t="s">
        <v>3</v>
      </c>
      <c r="I57" s="3">
        <f>_xlfn.STDEV.S(I5:I24)</f>
        <v>1.1119016395007371E-3</v>
      </c>
      <c r="J57" s="3">
        <f>_xlfn.STDEV.S(J5:J24)</f>
        <v>2.2768160362159527E-2</v>
      </c>
      <c r="M57" s="2" t="s">
        <v>3</v>
      </c>
      <c r="N57" s="3">
        <f>_xlfn.STDEV.S(N5:N24)</f>
        <v>1.5459746016870976E-3</v>
      </c>
      <c r="O57" s="3">
        <f>_xlfn.STDEV.S(O5:O24)</f>
        <v>2.2706081219163909E-2</v>
      </c>
      <c r="AH57" s="2" t="s">
        <v>3</v>
      </c>
      <c r="AI57" s="3">
        <f>_xlfn.STDEV.S(AI5:AI54)</f>
        <v>1.0061875462076956E-3</v>
      </c>
      <c r="AJ57" s="3">
        <f>_xlfn.STDEV.S(AJ5:AJ54)</f>
        <v>2.0441479091949693E-2</v>
      </c>
      <c r="AM57" s="2" t="s">
        <v>3</v>
      </c>
      <c r="AN57" s="3">
        <f>_xlfn.STDEV.S(AN5:AN54)</f>
        <v>1.0573885580347465E-3</v>
      </c>
      <c r="AO57" s="3">
        <f>_xlfn.STDEV.S(AO5:AO54)</f>
        <v>9.2969639757002707E-3</v>
      </c>
      <c r="AR57" s="2" t="s">
        <v>3</v>
      </c>
      <c r="AS57" s="3">
        <f>_xlfn.STDEV.S(AS5:AS54)</f>
        <v>6.7919170904217252E-4</v>
      </c>
      <c r="AT57" s="3">
        <f>_xlfn.STDEV.S(AT5:AT54)</f>
        <v>5.2278534035366938E-3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E58"/>
  <sheetViews>
    <sheetView topLeftCell="A25" workbookViewId="0">
      <selection activeCell="H46" sqref="H46"/>
    </sheetView>
  </sheetViews>
  <sheetFormatPr defaultRowHeight="15" x14ac:dyDescent="0.25"/>
  <sheetData>
    <row r="2" spans="3:5" x14ac:dyDescent="0.25">
      <c r="C2" s="1" t="s">
        <v>4</v>
      </c>
    </row>
    <row r="3" spans="3:5" x14ac:dyDescent="0.25">
      <c r="C3" s="1" t="s">
        <v>74</v>
      </c>
      <c r="E3" s="1"/>
    </row>
    <row r="4" spans="3:5" x14ac:dyDescent="0.25">
      <c r="C4" s="1" t="s">
        <v>25</v>
      </c>
    </row>
    <row r="5" spans="3:5" x14ac:dyDescent="0.25">
      <c r="C5" s="2"/>
      <c r="D5" s="2" t="s">
        <v>0</v>
      </c>
      <c r="E5" s="2" t="s">
        <v>1</v>
      </c>
    </row>
    <row r="6" spans="3:5" x14ac:dyDescent="0.25">
      <c r="C6" s="2">
        <v>1</v>
      </c>
      <c r="D6" s="3">
        <v>0.94672967667817709</v>
      </c>
      <c r="E6" s="3">
        <v>0.62502421699024935</v>
      </c>
    </row>
    <row r="7" spans="3:5" x14ac:dyDescent="0.25">
      <c r="C7" s="2">
        <f>C6+1</f>
        <v>2</v>
      </c>
      <c r="D7" s="3">
        <v>0.94860855661753218</v>
      </c>
      <c r="E7" s="3">
        <v>0.63308764134199857</v>
      </c>
    </row>
    <row r="8" spans="3:5" x14ac:dyDescent="0.25">
      <c r="C8" s="2">
        <f t="shared" ref="C8:C55" si="0">C7+1</f>
        <v>3</v>
      </c>
      <c r="D8" s="3">
        <v>0.94860455006944178</v>
      </c>
      <c r="E8" s="3">
        <v>0.63382655107750108</v>
      </c>
    </row>
    <row r="9" spans="3:5" x14ac:dyDescent="0.25">
      <c r="C9" s="2">
        <f t="shared" si="0"/>
        <v>4</v>
      </c>
      <c r="D9" s="3">
        <v>0.94767328141544516</v>
      </c>
      <c r="E9" s="3">
        <v>0.62959509433099037</v>
      </c>
    </row>
    <row r="10" spans="3:5" x14ac:dyDescent="0.25">
      <c r="C10" s="2">
        <f t="shared" si="0"/>
        <v>5</v>
      </c>
      <c r="D10" s="3">
        <v>0.94751955641671448</v>
      </c>
      <c r="E10" s="3">
        <v>0.63662434798891443</v>
      </c>
    </row>
    <row r="11" spans="3:5" x14ac:dyDescent="0.25">
      <c r="C11" s="2">
        <f t="shared" si="0"/>
        <v>6</v>
      </c>
      <c r="D11" s="3">
        <v>0.94636908532755781</v>
      </c>
      <c r="E11" s="3">
        <v>0.66551852337575401</v>
      </c>
    </row>
    <row r="12" spans="3:5" x14ac:dyDescent="0.25">
      <c r="C12" s="2">
        <f t="shared" si="0"/>
        <v>7</v>
      </c>
      <c r="D12" s="3">
        <v>0.94820196127458867</v>
      </c>
      <c r="E12" s="3">
        <v>0.60023415518071532</v>
      </c>
    </row>
    <row r="13" spans="3:5" x14ac:dyDescent="0.25">
      <c r="C13" s="2">
        <f t="shared" si="0"/>
        <v>8</v>
      </c>
      <c r="D13" s="3">
        <v>0.94962001944752583</v>
      </c>
      <c r="E13" s="3">
        <v>0.57995757074742893</v>
      </c>
    </row>
    <row r="14" spans="3:5" x14ac:dyDescent="0.25">
      <c r="C14" s="2">
        <f t="shared" si="0"/>
        <v>9</v>
      </c>
      <c r="D14" s="3">
        <v>0.94718282319591307</v>
      </c>
      <c r="E14" s="3">
        <v>0.6213748472828613</v>
      </c>
    </row>
    <row r="15" spans="3:5" x14ac:dyDescent="0.25">
      <c r="C15" s="2">
        <f t="shared" si="0"/>
        <v>10</v>
      </c>
      <c r="D15" s="3">
        <v>0.94770381182605912</v>
      </c>
      <c r="E15" s="3">
        <v>0.64958769551626994</v>
      </c>
    </row>
    <row r="16" spans="3:5" x14ac:dyDescent="0.25">
      <c r="C16" s="2">
        <f t="shared" si="0"/>
        <v>11</v>
      </c>
      <c r="D16" s="3">
        <v>0.94871674174208431</v>
      </c>
      <c r="E16" s="3">
        <v>0.64228057889242574</v>
      </c>
    </row>
    <row r="17" spans="3:5" x14ac:dyDescent="0.25">
      <c r="C17" s="2">
        <f t="shared" si="0"/>
        <v>12</v>
      </c>
      <c r="D17" s="3">
        <v>0.94658346327132192</v>
      </c>
      <c r="E17" s="3">
        <v>0.6716596990275705</v>
      </c>
    </row>
    <row r="18" spans="3:5" x14ac:dyDescent="0.25">
      <c r="C18" s="2">
        <f t="shared" si="0"/>
        <v>13</v>
      </c>
      <c r="D18" s="3">
        <v>0.94806964995523235</v>
      </c>
      <c r="E18" s="3">
        <v>0.62621002315026586</v>
      </c>
    </row>
    <row r="19" spans="3:5" x14ac:dyDescent="0.25">
      <c r="C19" s="2">
        <f t="shared" si="0"/>
        <v>14</v>
      </c>
      <c r="D19" s="3">
        <v>0.94919792545461057</v>
      </c>
      <c r="E19" s="3">
        <v>0.60030520870429882</v>
      </c>
    </row>
    <row r="20" spans="3:5" x14ac:dyDescent="0.25">
      <c r="C20" s="2">
        <f t="shared" si="0"/>
        <v>15</v>
      </c>
      <c r="D20" s="3">
        <v>0.94826973532561354</v>
      </c>
      <c r="E20" s="3">
        <v>0.62907537357843224</v>
      </c>
    </row>
    <row r="21" spans="3:5" x14ac:dyDescent="0.25">
      <c r="C21" s="2">
        <f t="shared" si="0"/>
        <v>16</v>
      </c>
      <c r="D21" s="3">
        <v>0.94551613072739227</v>
      </c>
      <c r="E21" s="3">
        <v>0.66330181424293366</v>
      </c>
    </row>
    <row r="22" spans="3:5" x14ac:dyDescent="0.25">
      <c r="C22" s="2">
        <f t="shared" si="0"/>
        <v>17</v>
      </c>
      <c r="D22" s="3">
        <v>0.94662771600072126</v>
      </c>
      <c r="E22" s="3">
        <v>0.64220781715955022</v>
      </c>
    </row>
    <row r="23" spans="3:5" x14ac:dyDescent="0.25">
      <c r="C23" s="2">
        <f t="shared" si="0"/>
        <v>18</v>
      </c>
      <c r="D23" s="3">
        <v>0.94783124980205613</v>
      </c>
      <c r="E23" s="3">
        <v>0.59984577757592639</v>
      </c>
    </row>
    <row r="24" spans="3:5" x14ac:dyDescent="0.25">
      <c r="C24" s="2">
        <f t="shared" si="0"/>
        <v>19</v>
      </c>
      <c r="D24" s="3">
        <v>0.94492110934962237</v>
      </c>
      <c r="E24" s="3">
        <v>0.67064256322997429</v>
      </c>
    </row>
    <row r="25" spans="3:5" x14ac:dyDescent="0.25">
      <c r="C25" s="2">
        <f t="shared" si="0"/>
        <v>20</v>
      </c>
      <c r="D25" s="3">
        <v>0.94841164363496222</v>
      </c>
      <c r="E25" s="3">
        <v>0.59917211172804097</v>
      </c>
    </row>
    <row r="26" spans="3:5" x14ac:dyDescent="0.25">
      <c r="C26" s="2">
        <f t="shared" si="0"/>
        <v>21</v>
      </c>
      <c r="D26" s="3">
        <v>0.9466579874645209</v>
      </c>
      <c r="E26" s="3">
        <v>0.61013829086145144</v>
      </c>
    </row>
    <row r="27" spans="3:5" x14ac:dyDescent="0.25">
      <c r="C27" s="2">
        <f t="shared" si="0"/>
        <v>22</v>
      </c>
      <c r="D27" s="3">
        <v>0.94645829804140791</v>
      </c>
      <c r="E27" s="3">
        <v>0.63556619366342093</v>
      </c>
    </row>
    <row r="28" spans="3:5" x14ac:dyDescent="0.25">
      <c r="C28" s="2">
        <f t="shared" si="0"/>
        <v>23</v>
      </c>
      <c r="D28" s="3">
        <v>0.94596385885069112</v>
      </c>
      <c r="E28" s="3">
        <v>0.64197556376576093</v>
      </c>
    </row>
    <row r="29" spans="3:5" x14ac:dyDescent="0.25">
      <c r="C29" s="2">
        <f t="shared" si="0"/>
        <v>24</v>
      </c>
      <c r="D29" s="3">
        <v>0.94817244299464709</v>
      </c>
      <c r="E29" s="3">
        <v>0.5669596428559488</v>
      </c>
    </row>
    <row r="30" spans="3:5" x14ac:dyDescent="0.25">
      <c r="C30" s="2">
        <f t="shared" si="0"/>
        <v>25</v>
      </c>
      <c r="D30" s="3">
        <v>0.94919252089059303</v>
      </c>
      <c r="E30" s="3">
        <v>0.60800372134215086</v>
      </c>
    </row>
    <row r="31" spans="3:5" x14ac:dyDescent="0.25">
      <c r="C31" s="2">
        <f t="shared" si="0"/>
        <v>26</v>
      </c>
      <c r="D31" s="3">
        <v>0.94829300157213225</v>
      </c>
      <c r="E31" s="3">
        <v>0.60497944477121135</v>
      </c>
    </row>
    <row r="32" spans="3:5" x14ac:dyDescent="0.25">
      <c r="C32" s="2">
        <f t="shared" si="0"/>
        <v>27</v>
      </c>
      <c r="D32" s="3">
        <v>0.94286403835735688</v>
      </c>
      <c r="E32" s="3">
        <v>0.68921973330485087</v>
      </c>
    </row>
    <row r="33" spans="3:5" x14ac:dyDescent="0.25">
      <c r="C33" s="2">
        <f t="shared" si="0"/>
        <v>28</v>
      </c>
      <c r="D33" s="3">
        <v>0.9478972636518127</v>
      </c>
      <c r="E33" s="3">
        <v>0.63847976939520823</v>
      </c>
    </row>
    <row r="34" spans="3:5" x14ac:dyDescent="0.25">
      <c r="C34" s="2">
        <f t="shared" si="0"/>
        <v>29</v>
      </c>
      <c r="D34" s="3">
        <v>0.9474734655939886</v>
      </c>
      <c r="E34" s="3">
        <v>0.63408130619328995</v>
      </c>
    </row>
    <row r="35" spans="3:5" x14ac:dyDescent="0.25">
      <c r="C35" s="2">
        <f t="shared" si="0"/>
        <v>30</v>
      </c>
      <c r="D35" s="3">
        <v>0.94738235689718553</v>
      </c>
      <c r="E35" s="3">
        <v>0.61924033242386722</v>
      </c>
    </row>
    <row r="36" spans="3:5" x14ac:dyDescent="0.25">
      <c r="C36" s="2">
        <f t="shared" si="0"/>
        <v>31</v>
      </c>
      <c r="D36" s="3">
        <v>0.94735832799060571</v>
      </c>
      <c r="E36" s="3">
        <v>0.64297560254326502</v>
      </c>
    </row>
    <row r="37" spans="3:5" x14ac:dyDescent="0.25">
      <c r="C37" s="2">
        <f t="shared" si="0"/>
        <v>32</v>
      </c>
      <c r="D37" s="3">
        <v>0.94687947574697484</v>
      </c>
      <c r="E37" s="3">
        <v>0.61768952805553101</v>
      </c>
    </row>
    <row r="38" spans="3:5" x14ac:dyDescent="0.25">
      <c r="C38" s="2">
        <f t="shared" si="0"/>
        <v>33</v>
      </c>
      <c r="D38" s="3">
        <v>0.94821249143869424</v>
      </c>
      <c r="E38" s="3">
        <v>0.61177491460678723</v>
      </c>
    </row>
    <row r="39" spans="3:5" x14ac:dyDescent="0.25">
      <c r="C39" s="2">
        <f t="shared" si="0"/>
        <v>34</v>
      </c>
      <c r="D39" s="3">
        <v>0.9486289243743351</v>
      </c>
      <c r="E39" s="3">
        <v>0.63167060762507266</v>
      </c>
    </row>
    <row r="40" spans="3:5" x14ac:dyDescent="0.25">
      <c r="C40" s="2">
        <f t="shared" si="0"/>
        <v>35</v>
      </c>
      <c r="D40" s="3">
        <v>0.94931258625718307</v>
      </c>
      <c r="E40" s="3">
        <v>0.60157879665711556</v>
      </c>
    </row>
    <row r="41" spans="3:5" x14ac:dyDescent="0.25">
      <c r="C41" s="2">
        <f t="shared" si="0"/>
        <v>36</v>
      </c>
      <c r="D41" s="3">
        <v>0.94637291510358368</v>
      </c>
      <c r="E41" s="3">
        <v>0.63885176407450506</v>
      </c>
    </row>
    <row r="42" spans="3:5" x14ac:dyDescent="0.25">
      <c r="C42" s="2">
        <f t="shared" si="0"/>
        <v>37</v>
      </c>
      <c r="D42" s="3">
        <v>0.94737537416031237</v>
      </c>
      <c r="E42" s="3">
        <v>0.62946554551197509</v>
      </c>
    </row>
    <row r="43" spans="3:5" x14ac:dyDescent="0.25">
      <c r="C43" s="2">
        <f t="shared" si="0"/>
        <v>38</v>
      </c>
      <c r="D43" s="3">
        <v>0.94788518047791259</v>
      </c>
      <c r="E43" s="3">
        <v>0.61747511013462308</v>
      </c>
    </row>
    <row r="44" spans="3:5" x14ac:dyDescent="0.25">
      <c r="C44" s="2">
        <f t="shared" si="0"/>
        <v>39</v>
      </c>
      <c r="D44" s="3">
        <v>0.94773142271396671</v>
      </c>
      <c r="E44" s="3">
        <v>0.62111628260762364</v>
      </c>
    </row>
    <row r="45" spans="3:5" x14ac:dyDescent="0.25">
      <c r="C45" s="2">
        <f t="shared" si="0"/>
        <v>40</v>
      </c>
      <c r="D45" s="3">
        <v>0.94811240709315436</v>
      </c>
      <c r="E45" s="3">
        <v>0.60478322030409282</v>
      </c>
    </row>
    <row r="46" spans="3:5" x14ac:dyDescent="0.25">
      <c r="C46" s="2">
        <f t="shared" si="0"/>
        <v>41</v>
      </c>
      <c r="D46" s="3">
        <v>0.94845661889193422</v>
      </c>
      <c r="E46" s="3">
        <v>0.61937733851569854</v>
      </c>
    </row>
    <row r="47" spans="3:5" x14ac:dyDescent="0.25">
      <c r="C47" s="2">
        <f t="shared" si="0"/>
        <v>42</v>
      </c>
      <c r="D47" s="3">
        <v>0.94830079738819983</v>
      </c>
      <c r="E47" s="3">
        <v>0.59421665274029967</v>
      </c>
    </row>
    <row r="48" spans="3:5" x14ac:dyDescent="0.25">
      <c r="C48" s="2">
        <f t="shared" si="0"/>
        <v>43</v>
      </c>
      <c r="D48" s="3">
        <v>0.94678029231201333</v>
      </c>
      <c r="E48" s="3">
        <v>0.64876875612375617</v>
      </c>
    </row>
    <row r="49" spans="3:5" x14ac:dyDescent="0.25">
      <c r="C49" s="2">
        <f t="shared" si="0"/>
        <v>44</v>
      </c>
      <c r="D49" s="3">
        <v>0.94636188146449596</v>
      </c>
      <c r="E49" s="3">
        <v>0.59995840677244505</v>
      </c>
    </row>
    <row r="50" spans="3:5" x14ac:dyDescent="0.25">
      <c r="C50" s="2">
        <f t="shared" si="0"/>
        <v>45</v>
      </c>
      <c r="D50" s="3">
        <v>0.94669801519937247</v>
      </c>
      <c r="E50" s="3">
        <v>0.64725048722908884</v>
      </c>
    </row>
    <row r="51" spans="3:5" x14ac:dyDescent="0.25">
      <c r="C51" s="2">
        <f t="shared" si="0"/>
        <v>46</v>
      </c>
      <c r="D51" s="3">
        <v>0.94708844833610117</v>
      </c>
      <c r="E51" s="3">
        <v>0.62637785609494079</v>
      </c>
    </row>
    <row r="52" spans="3:5" x14ac:dyDescent="0.25">
      <c r="C52" s="2">
        <f t="shared" si="0"/>
        <v>47</v>
      </c>
      <c r="D52" s="3">
        <v>0.94629988874577964</v>
      </c>
      <c r="E52" s="3">
        <v>0.64450937961750077</v>
      </c>
    </row>
    <row r="53" spans="3:5" x14ac:dyDescent="0.25">
      <c r="C53" s="2">
        <f t="shared" si="0"/>
        <v>48</v>
      </c>
      <c r="D53" s="3">
        <v>0.94707114444224716</v>
      </c>
      <c r="E53" s="3">
        <v>0.627778404972958</v>
      </c>
    </row>
    <row r="54" spans="3:5" x14ac:dyDescent="0.25">
      <c r="C54" s="2">
        <f t="shared" si="0"/>
        <v>49</v>
      </c>
      <c r="D54" s="3">
        <v>0.94760848248849605</v>
      </c>
      <c r="E54" s="3">
        <v>0.63730381007408254</v>
      </c>
    </row>
    <row r="55" spans="3:5" x14ac:dyDescent="0.25">
      <c r="C55" s="2">
        <f t="shared" si="0"/>
        <v>50</v>
      </c>
      <c r="D55" s="3">
        <v>0.9488674637320299</v>
      </c>
      <c r="E55" s="3">
        <v>0.60085887403427418</v>
      </c>
    </row>
    <row r="57" spans="3:5" x14ac:dyDescent="0.25">
      <c r="C57" s="2" t="s">
        <v>2</v>
      </c>
      <c r="D57" s="3">
        <f>AVERAGE(D6:D55)</f>
        <v>0.94748232120408604</v>
      </c>
      <c r="E57" s="3">
        <f>AVERAGE(E6:E55)</f>
        <v>0.62663913895989798</v>
      </c>
    </row>
    <row r="58" spans="3:5" x14ac:dyDescent="0.25">
      <c r="C58" s="2" t="s">
        <v>3</v>
      </c>
      <c r="D58" s="3">
        <f>_xlfn.STDEV.S(D6:D55)</f>
        <v>1.2177404528064843E-3</v>
      </c>
      <c r="E58" s="3">
        <f>_xlfn.STDEV.S(E6:E55)</f>
        <v>2.3923681415653975E-2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AU58"/>
  <sheetViews>
    <sheetView tabSelected="1" topLeftCell="M1" zoomScale="70" zoomScaleNormal="70" workbookViewId="0">
      <selection activeCell="AL37" sqref="AL37"/>
    </sheetView>
  </sheetViews>
  <sheetFormatPr defaultRowHeight="15" x14ac:dyDescent="0.25"/>
  <sheetData>
    <row r="2" spans="4:47" x14ac:dyDescent="0.25">
      <c r="D2" s="1" t="s">
        <v>4</v>
      </c>
      <c r="J2" s="1" t="s">
        <v>4</v>
      </c>
      <c r="P2" s="1" t="s">
        <v>4</v>
      </c>
      <c r="V2" s="1" t="s">
        <v>4</v>
      </c>
      <c r="AB2" s="1" t="s">
        <v>77</v>
      </c>
      <c r="AG2" s="1" t="s">
        <v>76</v>
      </c>
      <c r="AK2" s="1" t="s">
        <v>76</v>
      </c>
      <c r="AO2" s="1" t="s">
        <v>4</v>
      </c>
      <c r="AS2" s="1" t="s">
        <v>77</v>
      </c>
    </row>
    <row r="3" spans="4:47" x14ac:dyDescent="0.25">
      <c r="D3" s="1" t="s">
        <v>42</v>
      </c>
      <c r="F3" s="1"/>
      <c r="J3" s="1" t="s">
        <v>42</v>
      </c>
      <c r="L3" s="1"/>
      <c r="P3" s="1" t="s">
        <v>44</v>
      </c>
      <c r="R3" s="1"/>
      <c r="V3" s="1" t="s">
        <v>44</v>
      </c>
      <c r="X3" s="1"/>
      <c r="AB3" s="1" t="s">
        <v>44</v>
      </c>
      <c r="AD3" s="1"/>
      <c r="AG3" s="1" t="s">
        <v>44</v>
      </c>
      <c r="AI3" s="1"/>
      <c r="AK3" s="1" t="s">
        <v>44</v>
      </c>
      <c r="AM3" s="1"/>
      <c r="AO3" s="1" t="s">
        <v>44</v>
      </c>
      <c r="AQ3" s="1"/>
      <c r="AS3" s="1" t="s">
        <v>44</v>
      </c>
      <c r="AU3" s="1"/>
    </row>
    <row r="4" spans="4:47" x14ac:dyDescent="0.25">
      <c r="D4" s="1" t="s">
        <v>25</v>
      </c>
      <c r="J4" s="1" t="s">
        <v>75</v>
      </c>
      <c r="P4" s="1" t="s">
        <v>25</v>
      </c>
      <c r="V4" s="1" t="s">
        <v>75</v>
      </c>
      <c r="AB4" s="1" t="s">
        <v>25</v>
      </c>
      <c r="AG4" s="1" t="s">
        <v>25</v>
      </c>
      <c r="AK4" s="1" t="s">
        <v>25</v>
      </c>
      <c r="AO4" s="1" t="s">
        <v>25</v>
      </c>
      <c r="AS4" s="1" t="s">
        <v>25</v>
      </c>
    </row>
    <row r="5" spans="4:47" x14ac:dyDescent="0.25">
      <c r="D5" s="2"/>
      <c r="E5" s="2" t="s">
        <v>0</v>
      </c>
      <c r="F5" s="2" t="s">
        <v>1</v>
      </c>
      <c r="J5" s="2"/>
      <c r="K5" s="2" t="s">
        <v>0</v>
      </c>
      <c r="L5" s="2" t="s">
        <v>1</v>
      </c>
      <c r="P5" s="2"/>
      <c r="Q5" s="2" t="s">
        <v>0</v>
      </c>
      <c r="R5" s="2" t="s">
        <v>1</v>
      </c>
      <c r="V5" s="2"/>
      <c r="W5" s="2" t="s">
        <v>0</v>
      </c>
      <c r="X5" s="2" t="s">
        <v>1</v>
      </c>
      <c r="AB5" s="2"/>
      <c r="AC5" s="2" t="s">
        <v>0</v>
      </c>
      <c r="AD5" s="2" t="s">
        <v>1</v>
      </c>
      <c r="AG5" s="2"/>
      <c r="AH5" s="2" t="s">
        <v>0</v>
      </c>
      <c r="AI5" s="2" t="s">
        <v>1</v>
      </c>
      <c r="AK5" s="2"/>
      <c r="AL5" s="2" t="s">
        <v>78</v>
      </c>
      <c r="AM5" s="2" t="s">
        <v>79</v>
      </c>
      <c r="AO5" s="2"/>
      <c r="AP5" s="2" t="s">
        <v>78</v>
      </c>
      <c r="AQ5" s="2" t="s">
        <v>79</v>
      </c>
      <c r="AS5" s="2"/>
      <c r="AT5" s="2" t="s">
        <v>78</v>
      </c>
      <c r="AU5" s="2" t="s">
        <v>79</v>
      </c>
    </row>
    <row r="6" spans="4:47" x14ac:dyDescent="0.25">
      <c r="D6" s="2">
        <v>1</v>
      </c>
      <c r="E6" s="3">
        <v>0.89710417727868963</v>
      </c>
      <c r="F6" s="3">
        <v>0.26818729527531049</v>
      </c>
      <c r="J6" s="2">
        <v>1</v>
      </c>
      <c r="K6" s="3">
        <v>0.90373266047866063</v>
      </c>
      <c r="L6" s="3">
        <v>0.27273903470836602</v>
      </c>
      <c r="P6" s="2">
        <v>1</v>
      </c>
      <c r="Q6" s="3">
        <v>0.90729947776996445</v>
      </c>
      <c r="R6" s="3">
        <v>0.30138002696576222</v>
      </c>
      <c r="V6" s="2">
        <v>1</v>
      </c>
      <c r="W6" s="3">
        <v>0.91123785852774997</v>
      </c>
      <c r="X6" s="3">
        <v>0.36848928238861622</v>
      </c>
      <c r="AB6" s="2">
        <v>1</v>
      </c>
      <c r="AC6" s="3">
        <v>0.16444422820366711</v>
      </c>
      <c r="AD6" s="3">
        <v>5.1318614766284743E-2</v>
      </c>
      <c r="AG6" s="2">
        <v>1</v>
      </c>
      <c r="AH6" s="3">
        <v>0.96191353116989897</v>
      </c>
      <c r="AI6" s="3">
        <v>0.28511194831997499</v>
      </c>
      <c r="AK6" s="2">
        <v>1</v>
      </c>
      <c r="AL6" s="3">
        <v>1.216532842076549E-2</v>
      </c>
      <c r="AM6" s="3">
        <v>0.20921836687022699</v>
      </c>
      <c r="AO6" s="2">
        <v>1</v>
      </c>
      <c r="AP6" s="3">
        <v>2.9059890789708019E-2</v>
      </c>
      <c r="AQ6" s="3">
        <v>0.1885133660234079</v>
      </c>
      <c r="AS6" s="2">
        <v>1</v>
      </c>
      <c r="AT6" s="3">
        <v>0.25890983480595098</v>
      </c>
      <c r="AU6" s="3">
        <v>0.25237804949838338</v>
      </c>
    </row>
    <row r="7" spans="4:47" x14ac:dyDescent="0.25">
      <c r="D7" s="2">
        <f>D6+1</f>
        <v>2</v>
      </c>
      <c r="E7" s="3">
        <v>0.89844526287566817</v>
      </c>
      <c r="F7" s="3">
        <v>0.2261206792417039</v>
      </c>
      <c r="J7" s="2">
        <f>J6+1</f>
        <v>2</v>
      </c>
      <c r="K7" s="3">
        <v>0.90492837759286349</v>
      </c>
      <c r="L7" s="3">
        <v>0.29830742155207812</v>
      </c>
      <c r="P7" s="2">
        <f>P6+1</f>
        <v>2</v>
      </c>
      <c r="Q7" s="3">
        <v>0.90453732905272644</v>
      </c>
      <c r="R7" s="3">
        <v>0.33605610666232788</v>
      </c>
      <c r="V7" s="2">
        <f>V6+1</f>
        <v>2</v>
      </c>
      <c r="W7" s="3">
        <v>0.91169752312099739</v>
      </c>
      <c r="X7" s="3">
        <v>0.36745965385872292</v>
      </c>
      <c r="AB7" s="2">
        <f>AB6+1</f>
        <v>2</v>
      </c>
      <c r="AC7" s="3">
        <v>0.24713103775555911</v>
      </c>
      <c r="AD7" s="3">
        <v>0.1632762284104092</v>
      </c>
      <c r="AG7" s="2">
        <f>AG6+1</f>
        <v>2</v>
      </c>
      <c r="AH7" s="3">
        <v>0.96328217442830422</v>
      </c>
      <c r="AI7" s="3">
        <v>0.29848327581207551</v>
      </c>
      <c r="AK7" s="2">
        <f>AK6+1</f>
        <v>2</v>
      </c>
      <c r="AL7" s="3">
        <v>1.135983073959252E-2</v>
      </c>
      <c r="AM7" s="3">
        <v>0.23056396115561659</v>
      </c>
      <c r="AO7" s="2">
        <f>AO6+1</f>
        <v>2</v>
      </c>
      <c r="AP7" s="3">
        <v>2.907241879994104E-2</v>
      </c>
      <c r="AQ7" s="3">
        <v>0.19950063839118881</v>
      </c>
      <c r="AS7" s="2">
        <f>AS6+1</f>
        <v>2</v>
      </c>
      <c r="AT7" s="3">
        <v>0.2274343408525541</v>
      </c>
      <c r="AU7" s="3">
        <v>0.27392590933763178</v>
      </c>
    </row>
    <row r="8" spans="4:47" x14ac:dyDescent="0.25">
      <c r="D8" s="2">
        <f t="shared" ref="D8:D55" si="0">D7+1</f>
        <v>3</v>
      </c>
      <c r="E8" s="3">
        <v>0.89833842305614253</v>
      </c>
      <c r="F8" s="3">
        <v>0.26463127992501662</v>
      </c>
      <c r="J8" s="2">
        <f t="shared" ref="J8:J55" si="1">J7+1</f>
        <v>3</v>
      </c>
      <c r="K8" s="3">
        <v>0.90385289289569115</v>
      </c>
      <c r="L8" s="3">
        <v>0.31771619807114487</v>
      </c>
      <c r="P8" s="2">
        <f t="shared" ref="P8:P55" si="2">P7+1</f>
        <v>3</v>
      </c>
      <c r="Q8" s="3">
        <v>0.90634310003394225</v>
      </c>
      <c r="R8" s="3">
        <v>0.31550163596450448</v>
      </c>
      <c r="V8" s="2">
        <f t="shared" ref="V8:V55" si="3">V7+1</f>
        <v>3</v>
      </c>
      <c r="W8" s="3">
        <v>0.90948649996940611</v>
      </c>
      <c r="X8" s="3">
        <v>0.38424225933507289</v>
      </c>
      <c r="AB8" s="2">
        <f t="shared" ref="AB8:AB25" si="4">AB7+1</f>
        <v>3</v>
      </c>
      <c r="AC8" s="3">
        <v>0.18717958993639749</v>
      </c>
      <c r="AD8" s="3">
        <v>0.11931187023594129</v>
      </c>
      <c r="AG8" s="2">
        <f t="shared" ref="AG8:AG25" si="5">AG7+1</f>
        <v>3</v>
      </c>
      <c r="AH8" s="3">
        <v>0.96208208050576749</v>
      </c>
      <c r="AI8" s="3">
        <v>0.31914913744437923</v>
      </c>
      <c r="AK8" s="2">
        <f t="shared" ref="AK8:AK25" si="6">AK7+1</f>
        <v>3</v>
      </c>
      <c r="AL8" s="3">
        <v>1.156977310337691E-2</v>
      </c>
      <c r="AM8" s="3">
        <v>0.21758885758403471</v>
      </c>
      <c r="AO8" s="2">
        <f t="shared" ref="AO8:AO25" si="7">AO7+1</f>
        <v>3</v>
      </c>
      <c r="AP8" s="3">
        <v>2.927728887477728E-2</v>
      </c>
      <c r="AQ8" s="3">
        <v>0.19910228621246601</v>
      </c>
      <c r="AS8" s="2">
        <f t="shared" ref="AS8:AS25" si="8">AS7+1</f>
        <v>3</v>
      </c>
      <c r="AT8" s="3">
        <v>0.21889410423408151</v>
      </c>
      <c r="AU8" s="3">
        <v>0.28294395218482071</v>
      </c>
    </row>
    <row r="9" spans="4:47" x14ac:dyDescent="0.25">
      <c r="D9" s="2">
        <f t="shared" si="0"/>
        <v>4</v>
      </c>
      <c r="E9" s="3">
        <v>0.89958574663382662</v>
      </c>
      <c r="F9" s="3">
        <v>0.2745112093809744</v>
      </c>
      <c r="J9" s="2">
        <f t="shared" si="1"/>
        <v>4</v>
      </c>
      <c r="K9" s="3">
        <v>0.89953306366185315</v>
      </c>
      <c r="L9" s="3">
        <v>0.33801144764942093</v>
      </c>
      <c r="P9" s="2">
        <f t="shared" si="2"/>
        <v>4</v>
      </c>
      <c r="Q9" s="3">
        <v>0.90496776123943767</v>
      </c>
      <c r="R9" s="3">
        <v>0.34040323335747003</v>
      </c>
      <c r="V9" s="2">
        <f t="shared" si="3"/>
        <v>4</v>
      </c>
      <c r="W9" s="3">
        <v>0.91193811593853913</v>
      </c>
      <c r="X9" s="3">
        <v>0.34224769704717062</v>
      </c>
      <c r="AB9" s="2">
        <f t="shared" si="4"/>
        <v>4</v>
      </c>
      <c r="AC9" s="3">
        <v>0.2880029437274243</v>
      </c>
      <c r="AD9" s="3">
        <v>0.23510325400265139</v>
      </c>
      <c r="AG9" s="2">
        <f t="shared" si="5"/>
        <v>4</v>
      </c>
      <c r="AH9" s="3">
        <v>0.95772180067212276</v>
      </c>
      <c r="AI9" s="3">
        <v>0.33968552111749228</v>
      </c>
      <c r="AK9" s="2">
        <f t="shared" si="6"/>
        <v>4</v>
      </c>
      <c r="AL9" s="3">
        <v>1.252743799738585E-2</v>
      </c>
      <c r="AM9" s="3">
        <v>0.2249327022430001</v>
      </c>
      <c r="AO9" s="2">
        <f t="shared" si="7"/>
        <v>4</v>
      </c>
      <c r="AP9" s="3">
        <v>3.0312170660272499E-2</v>
      </c>
      <c r="AQ9" s="3">
        <v>0.1751940047638956</v>
      </c>
      <c r="AS9" s="2">
        <f t="shared" si="8"/>
        <v>4</v>
      </c>
      <c r="AT9" s="3">
        <v>0.23116290161822101</v>
      </c>
      <c r="AU9" s="3">
        <v>0.22177345891245279</v>
      </c>
    </row>
    <row r="10" spans="4:47" x14ac:dyDescent="0.25">
      <c r="D10" s="2">
        <f t="shared" si="0"/>
        <v>5</v>
      </c>
      <c r="E10" s="3">
        <v>0.89793467778235114</v>
      </c>
      <c r="F10" s="3">
        <v>0.28398710471662753</v>
      </c>
      <c r="J10" s="2">
        <f t="shared" si="1"/>
        <v>5</v>
      </c>
      <c r="K10" s="3">
        <v>0.90136985970336125</v>
      </c>
      <c r="L10" s="3">
        <v>0.31642306681930721</v>
      </c>
      <c r="P10" s="2">
        <f t="shared" si="2"/>
        <v>5</v>
      </c>
      <c r="Q10" s="3">
        <v>0.90627679672742345</v>
      </c>
      <c r="R10" s="3">
        <v>0.2856393139030704</v>
      </c>
      <c r="V10" s="2">
        <f t="shared" si="3"/>
        <v>5</v>
      </c>
      <c r="W10" s="3">
        <v>0.91046388632986452</v>
      </c>
      <c r="X10" s="3">
        <v>0.35296069861369012</v>
      </c>
      <c r="AB10" s="2">
        <f t="shared" si="4"/>
        <v>5</v>
      </c>
      <c r="AC10" s="3">
        <v>0.23726393742534041</v>
      </c>
      <c r="AD10" s="3">
        <v>0.1840600097486533</v>
      </c>
      <c r="AG10" s="2">
        <f t="shared" si="5"/>
        <v>5</v>
      </c>
      <c r="AH10" s="3">
        <v>0.96326306891056457</v>
      </c>
      <c r="AI10" s="3">
        <v>0.23663288280979511</v>
      </c>
      <c r="AK10" s="2">
        <f t="shared" si="6"/>
        <v>5</v>
      </c>
      <c r="AL10" s="3">
        <v>1.0827403598047869E-2</v>
      </c>
      <c r="AM10" s="3">
        <v>0.23522502578249721</v>
      </c>
      <c r="AO10" s="2">
        <f t="shared" si="7"/>
        <v>5</v>
      </c>
      <c r="AP10" s="3">
        <v>2.863586400164659E-2</v>
      </c>
      <c r="AQ10" s="3">
        <v>0.20376412713756209</v>
      </c>
      <c r="AS10" s="2">
        <f t="shared" si="8"/>
        <v>5</v>
      </c>
      <c r="AT10" s="3">
        <v>0.23010787714385919</v>
      </c>
      <c r="AU10" s="3">
        <v>0.21972943972356301</v>
      </c>
    </row>
    <row r="11" spans="4:47" x14ac:dyDescent="0.25">
      <c r="D11" s="2">
        <f t="shared" si="0"/>
        <v>6</v>
      </c>
      <c r="E11" s="3">
        <v>0.89771673934811913</v>
      </c>
      <c r="F11" s="3">
        <v>0.27296211706149998</v>
      </c>
      <c r="J11" s="2">
        <f t="shared" si="1"/>
        <v>6</v>
      </c>
      <c r="K11" s="3">
        <v>0.90138396919391139</v>
      </c>
      <c r="L11" s="3">
        <v>0.30768700182399999</v>
      </c>
      <c r="P11" s="2">
        <f t="shared" si="2"/>
        <v>6</v>
      </c>
      <c r="Q11" s="3">
        <v>0.90482907765804699</v>
      </c>
      <c r="R11" s="3">
        <v>0.32350897458847039</v>
      </c>
      <c r="V11" s="2">
        <f t="shared" si="3"/>
        <v>6</v>
      </c>
      <c r="W11" s="3">
        <v>0.90824389917358206</v>
      </c>
      <c r="X11" s="3">
        <v>0.3869490565462419</v>
      </c>
      <c r="AB11" s="2">
        <f t="shared" si="4"/>
        <v>6</v>
      </c>
      <c r="AC11" s="3">
        <v>0.27592711411592741</v>
      </c>
      <c r="AD11" s="3">
        <v>0.20888797862826031</v>
      </c>
      <c r="AG11" s="2">
        <f t="shared" si="5"/>
        <v>6</v>
      </c>
      <c r="AH11" s="3">
        <v>0.96340813575449791</v>
      </c>
      <c r="AI11" s="3">
        <v>0.29761089945181968</v>
      </c>
      <c r="AK11" s="2">
        <f t="shared" si="6"/>
        <v>6</v>
      </c>
      <c r="AL11" s="3">
        <v>1.069124894392004E-2</v>
      </c>
      <c r="AM11" s="3">
        <v>0.21031908867249521</v>
      </c>
      <c r="AO11" s="2">
        <f t="shared" si="7"/>
        <v>6</v>
      </c>
      <c r="AP11" s="3">
        <v>2.8264235604473869E-2</v>
      </c>
      <c r="AQ11" s="3">
        <v>0.21196051632568741</v>
      </c>
      <c r="AS11" s="2">
        <f t="shared" si="8"/>
        <v>6</v>
      </c>
      <c r="AT11" s="3">
        <v>0.23196045195667411</v>
      </c>
      <c r="AU11" s="3">
        <v>0.22408733911038209</v>
      </c>
    </row>
    <row r="12" spans="4:47" x14ac:dyDescent="0.25">
      <c r="D12" s="2">
        <f t="shared" si="0"/>
        <v>7</v>
      </c>
      <c r="E12" s="3">
        <v>0.89919241917540083</v>
      </c>
      <c r="F12" s="3">
        <v>0.26233267711727343</v>
      </c>
      <c r="J12" s="2">
        <f t="shared" si="1"/>
        <v>7</v>
      </c>
      <c r="K12" s="3">
        <v>0.90231531521818586</v>
      </c>
      <c r="L12" s="3">
        <v>0.32351159869657958</v>
      </c>
      <c r="P12" s="2">
        <f t="shared" si="2"/>
        <v>7</v>
      </c>
      <c r="Q12" s="3">
        <v>0.90711654164017819</v>
      </c>
      <c r="R12" s="3">
        <v>0.31172778499274828</v>
      </c>
      <c r="V12" s="2">
        <f t="shared" si="3"/>
        <v>7</v>
      </c>
      <c r="W12" s="3">
        <v>0.90979850177755994</v>
      </c>
      <c r="X12" s="3">
        <v>0.35837750600112012</v>
      </c>
      <c r="AB12" s="2">
        <f t="shared" si="4"/>
        <v>7</v>
      </c>
      <c r="AC12" s="3">
        <v>0.2707255773205276</v>
      </c>
      <c r="AD12" s="3">
        <v>0.23120237282326661</v>
      </c>
      <c r="AG12" s="2">
        <f t="shared" si="5"/>
        <v>7</v>
      </c>
      <c r="AH12" s="3">
        <v>0.96131678401780951</v>
      </c>
      <c r="AI12" s="3">
        <v>0.29129780787044163</v>
      </c>
      <c r="AK12" s="2">
        <f t="shared" si="6"/>
        <v>7</v>
      </c>
      <c r="AL12" s="3">
        <v>1.250745784059494E-2</v>
      </c>
      <c r="AM12" s="3">
        <v>0.23359423849102601</v>
      </c>
      <c r="AO12" s="2">
        <f t="shared" si="7"/>
        <v>7</v>
      </c>
      <c r="AP12" s="3">
        <v>2.9014470347617571E-2</v>
      </c>
      <c r="AQ12" s="3">
        <v>0.20237365959528311</v>
      </c>
      <c r="AS12" s="2">
        <f t="shared" si="8"/>
        <v>7</v>
      </c>
      <c r="AT12" s="3">
        <v>0.23183373348545211</v>
      </c>
      <c r="AU12" s="3">
        <v>0.24221858645079869</v>
      </c>
    </row>
    <row r="13" spans="4:47" x14ac:dyDescent="0.25">
      <c r="D13" s="2">
        <f t="shared" si="0"/>
        <v>8</v>
      </c>
      <c r="E13" s="3">
        <v>0.89624864781101443</v>
      </c>
      <c r="F13" s="3">
        <v>0.27324999616583151</v>
      </c>
      <c r="J13" s="2">
        <f t="shared" si="1"/>
        <v>8</v>
      </c>
      <c r="K13" s="3">
        <v>0.90223926137681121</v>
      </c>
      <c r="L13" s="3">
        <v>0.32833084244804728</v>
      </c>
      <c r="P13" s="2">
        <f t="shared" si="2"/>
        <v>8</v>
      </c>
      <c r="Q13" s="3">
        <v>0.9070408177586653</v>
      </c>
      <c r="R13" s="3">
        <v>0.36464165434328472</v>
      </c>
      <c r="V13" s="2">
        <f t="shared" si="3"/>
        <v>8</v>
      </c>
      <c r="W13" s="3">
        <v>0.90922512777742825</v>
      </c>
      <c r="X13" s="3">
        <v>0.38211100243818741</v>
      </c>
      <c r="AB13" s="2">
        <f t="shared" si="4"/>
        <v>8</v>
      </c>
      <c r="AC13" s="3">
        <v>0.24862992685335009</v>
      </c>
      <c r="AD13" s="3">
        <v>0.2235973716191175</v>
      </c>
      <c r="AG13" s="2">
        <f t="shared" si="5"/>
        <v>8</v>
      </c>
      <c r="AH13" s="3">
        <v>0.96534005116879229</v>
      </c>
      <c r="AI13" s="3">
        <v>0.3089884547072892</v>
      </c>
      <c r="AK13" s="2">
        <f t="shared" si="6"/>
        <v>8</v>
      </c>
      <c r="AL13" s="3">
        <v>1.131105535489043E-2</v>
      </c>
      <c r="AM13" s="3">
        <v>0.18979289356906631</v>
      </c>
      <c r="AO13" s="2">
        <f t="shared" si="7"/>
        <v>8</v>
      </c>
      <c r="AP13" s="3">
        <v>2.8145438363724851E-2</v>
      </c>
      <c r="AQ13" s="3">
        <v>0.21789479245722451</v>
      </c>
      <c r="AS13" s="2">
        <f t="shared" si="8"/>
        <v>8</v>
      </c>
      <c r="AT13" s="3">
        <v>0.2367886281304768</v>
      </c>
      <c r="AU13" s="3">
        <v>0.2893925254880888</v>
      </c>
    </row>
    <row r="14" spans="4:47" x14ac:dyDescent="0.25">
      <c r="D14" s="2">
        <f t="shared" si="0"/>
        <v>9</v>
      </c>
      <c r="E14" s="3">
        <v>0.89940330018337533</v>
      </c>
      <c r="F14" s="3">
        <v>0.25865140992048891</v>
      </c>
      <c r="J14" s="2">
        <f t="shared" si="1"/>
        <v>9</v>
      </c>
      <c r="K14" s="3">
        <v>0.90517755039438064</v>
      </c>
      <c r="L14" s="3">
        <v>0.28809169607035873</v>
      </c>
      <c r="P14" s="2">
        <f t="shared" si="2"/>
        <v>9</v>
      </c>
      <c r="Q14" s="3">
        <v>0.90680025960378041</v>
      </c>
      <c r="R14" s="3">
        <v>0.31966052725589239</v>
      </c>
      <c r="V14" s="2">
        <f t="shared" si="3"/>
        <v>9</v>
      </c>
      <c r="W14" s="3">
        <v>0.90988114373850659</v>
      </c>
      <c r="X14" s="3">
        <v>0.3561435463206466</v>
      </c>
      <c r="AB14" s="2">
        <f t="shared" si="4"/>
        <v>9</v>
      </c>
      <c r="AC14" s="3">
        <v>0.12887168456128309</v>
      </c>
      <c r="AD14" s="3">
        <v>9.8118837829290317E-2</v>
      </c>
      <c r="AG14" s="2">
        <f t="shared" si="5"/>
        <v>9</v>
      </c>
      <c r="AH14" s="3">
        <v>0.96410952460647725</v>
      </c>
      <c r="AI14" s="3">
        <v>0.34509909681347872</v>
      </c>
      <c r="AK14" s="2">
        <f t="shared" si="6"/>
        <v>9</v>
      </c>
      <c r="AL14" s="3">
        <v>1.094266061770525E-2</v>
      </c>
      <c r="AM14" s="3">
        <v>0.21496403334372749</v>
      </c>
      <c r="AO14" s="2">
        <f t="shared" si="7"/>
        <v>9</v>
      </c>
      <c r="AP14" s="3">
        <v>2.831739447953632E-2</v>
      </c>
      <c r="AQ14" s="3">
        <v>0.21160568356931969</v>
      </c>
      <c r="AS14" s="2">
        <f t="shared" si="8"/>
        <v>9</v>
      </c>
      <c r="AT14" s="3">
        <v>0.22365960400597679</v>
      </c>
      <c r="AU14" s="3">
        <v>0.23801913174357711</v>
      </c>
    </row>
    <row r="15" spans="4:47" x14ac:dyDescent="0.25">
      <c r="D15" s="2">
        <f t="shared" si="0"/>
        <v>10</v>
      </c>
      <c r="E15" s="3">
        <v>0.89866033151968883</v>
      </c>
      <c r="F15" s="3">
        <v>0.2351722376086591</v>
      </c>
      <c r="J15" s="2">
        <f t="shared" si="1"/>
        <v>10</v>
      </c>
      <c r="K15" s="3">
        <v>0.90450733697384911</v>
      </c>
      <c r="L15" s="3">
        <v>0.32835674653263491</v>
      </c>
      <c r="P15" s="2">
        <f t="shared" si="2"/>
        <v>10</v>
      </c>
      <c r="Q15" s="3">
        <v>0.90590947691463908</v>
      </c>
      <c r="R15" s="3">
        <v>0.35906007628160869</v>
      </c>
      <c r="V15" s="2">
        <f t="shared" si="3"/>
        <v>10</v>
      </c>
      <c r="W15" s="3">
        <v>0.90945803974734651</v>
      </c>
      <c r="X15" s="3">
        <v>0.36353769019507348</v>
      </c>
      <c r="AB15" s="2">
        <f t="shared" si="4"/>
        <v>10</v>
      </c>
      <c r="AC15" s="3">
        <v>0.21743471182679111</v>
      </c>
      <c r="AD15" s="3">
        <v>0.23141489414938571</v>
      </c>
      <c r="AG15" s="2">
        <f t="shared" si="5"/>
        <v>10</v>
      </c>
      <c r="AH15" s="3">
        <v>0.96375788437494492</v>
      </c>
      <c r="AI15" s="3">
        <v>0.29256475280673289</v>
      </c>
      <c r="AK15" s="2">
        <f t="shared" si="6"/>
        <v>10</v>
      </c>
      <c r="AL15" s="3">
        <v>1.202322300179165E-2</v>
      </c>
      <c r="AM15" s="3">
        <v>0.19955203880976671</v>
      </c>
      <c r="AO15" s="2">
        <f t="shared" si="7"/>
        <v>10</v>
      </c>
      <c r="AP15" s="3">
        <v>2.9614485836379791E-2</v>
      </c>
      <c r="AQ15" s="3">
        <v>0.19618884058187541</v>
      </c>
      <c r="AS15" s="2">
        <f t="shared" si="8"/>
        <v>10</v>
      </c>
      <c r="AT15" s="3">
        <v>0.24239463517834969</v>
      </c>
      <c r="AU15" s="3">
        <v>0.26765396943269049</v>
      </c>
    </row>
    <row r="16" spans="4:47" x14ac:dyDescent="0.25">
      <c r="D16" s="2">
        <f t="shared" si="0"/>
        <v>11</v>
      </c>
      <c r="E16" s="3">
        <v>0.89905264479029645</v>
      </c>
      <c r="F16" s="3">
        <v>0.30668965003446402</v>
      </c>
      <c r="J16" s="2">
        <f t="shared" si="1"/>
        <v>11</v>
      </c>
      <c r="K16" s="3">
        <v>0.90393596855193603</v>
      </c>
      <c r="L16" s="3">
        <v>0.29829184981696177</v>
      </c>
      <c r="P16" s="2">
        <f t="shared" si="2"/>
        <v>11</v>
      </c>
      <c r="Q16" s="3">
        <v>0.90594593788745892</v>
      </c>
      <c r="R16" s="3">
        <v>0.31808632689186728</v>
      </c>
      <c r="V16" s="2">
        <f t="shared" si="3"/>
        <v>11</v>
      </c>
      <c r="W16" s="3">
        <v>0.91073417840791659</v>
      </c>
      <c r="X16" s="3">
        <v>0.37022756806940638</v>
      </c>
      <c r="AB16" s="2">
        <f t="shared" si="4"/>
        <v>11</v>
      </c>
      <c r="AC16" s="3">
        <v>0.2555149545785913</v>
      </c>
      <c r="AD16" s="3">
        <v>0.2373475464644749</v>
      </c>
      <c r="AG16" s="2">
        <f t="shared" si="5"/>
        <v>11</v>
      </c>
      <c r="AH16" s="3">
        <v>0.96291162462004665</v>
      </c>
      <c r="AI16" s="3">
        <v>0.28072236451040611</v>
      </c>
      <c r="AK16" s="2">
        <f t="shared" si="6"/>
        <v>11</v>
      </c>
      <c r="AL16" s="3">
        <v>1.1981171057090831E-2</v>
      </c>
      <c r="AM16" s="3">
        <v>0.2293765838210195</v>
      </c>
      <c r="AO16" s="2">
        <f t="shared" si="7"/>
        <v>11</v>
      </c>
      <c r="AP16" s="3">
        <v>2.904981290682938E-2</v>
      </c>
      <c r="AQ16" s="3">
        <v>0.2018548606004911</v>
      </c>
      <c r="AS16" s="2">
        <f t="shared" si="8"/>
        <v>11</v>
      </c>
      <c r="AT16" s="3">
        <v>0.2273622096992938</v>
      </c>
      <c r="AU16" s="3">
        <v>0.2326587755961434</v>
      </c>
    </row>
    <row r="17" spans="4:47" x14ac:dyDescent="0.25">
      <c r="D17" s="2">
        <f t="shared" si="0"/>
        <v>12</v>
      </c>
      <c r="E17" s="3">
        <v>0.89978665441388461</v>
      </c>
      <c r="F17" s="3">
        <v>0.25714672682626649</v>
      </c>
      <c r="J17" s="2">
        <f t="shared" si="1"/>
        <v>12</v>
      </c>
      <c r="K17" s="3">
        <v>0.90531163045973895</v>
      </c>
      <c r="L17" s="3">
        <v>0.25106128653786958</v>
      </c>
      <c r="P17" s="2">
        <f t="shared" si="2"/>
        <v>12</v>
      </c>
      <c r="Q17" s="3">
        <v>0.90484188397091125</v>
      </c>
      <c r="R17" s="3">
        <v>0.30758642450531831</v>
      </c>
      <c r="V17" s="2">
        <f t="shared" si="3"/>
        <v>12</v>
      </c>
      <c r="W17" s="3">
        <v>0.91065996469633015</v>
      </c>
      <c r="X17" s="3">
        <v>0.37518872464659703</v>
      </c>
      <c r="AB17" s="2">
        <f t="shared" si="4"/>
        <v>12</v>
      </c>
      <c r="AC17" s="3">
        <v>0.25686615360981541</v>
      </c>
      <c r="AD17" s="3">
        <v>0.21773789554374781</v>
      </c>
      <c r="AG17" s="2">
        <f t="shared" si="5"/>
        <v>12</v>
      </c>
      <c r="AH17" s="3">
        <v>0.96186745870731916</v>
      </c>
      <c r="AI17" s="3">
        <v>0.26556971504848709</v>
      </c>
      <c r="AK17" s="2">
        <f t="shared" si="6"/>
        <v>12</v>
      </c>
      <c r="AL17" s="3">
        <v>1.196295687799446E-2</v>
      </c>
      <c r="AM17" s="3">
        <v>0.2157008859369145</v>
      </c>
      <c r="AO17" s="2">
        <f t="shared" si="7"/>
        <v>12</v>
      </c>
      <c r="AP17" s="3">
        <v>2.8783848663172931E-2</v>
      </c>
      <c r="AQ17" s="3">
        <v>0.22536010283286001</v>
      </c>
      <c r="AS17" s="2">
        <f t="shared" si="8"/>
        <v>12</v>
      </c>
      <c r="AT17" s="3">
        <v>0.22925222483938859</v>
      </c>
      <c r="AU17" s="3">
        <v>0.25363642232775252</v>
      </c>
    </row>
    <row r="18" spans="4:47" x14ac:dyDescent="0.25">
      <c r="D18" s="2">
        <f t="shared" si="0"/>
        <v>13</v>
      </c>
      <c r="E18" s="3">
        <v>0.89865844657109417</v>
      </c>
      <c r="F18" s="3">
        <v>0.24947929999899959</v>
      </c>
      <c r="J18" s="2">
        <f t="shared" si="1"/>
        <v>13</v>
      </c>
      <c r="K18" s="3">
        <v>0.90202338462075715</v>
      </c>
      <c r="L18" s="3">
        <v>0.33735062535815818</v>
      </c>
      <c r="P18" s="2">
        <f t="shared" si="2"/>
        <v>13</v>
      </c>
      <c r="Q18" s="3">
        <v>0.90596487131354675</v>
      </c>
      <c r="R18" s="3">
        <v>0.32070142630575699</v>
      </c>
      <c r="V18" s="2">
        <f t="shared" si="3"/>
        <v>13</v>
      </c>
      <c r="W18" s="3">
        <v>0.91013084620132556</v>
      </c>
      <c r="X18" s="3">
        <v>0.3519755344879566</v>
      </c>
      <c r="AB18" s="2">
        <f t="shared" si="4"/>
        <v>13</v>
      </c>
      <c r="AC18" s="3">
        <v>0.2441472364549491</v>
      </c>
      <c r="AD18" s="3">
        <v>8.7248135927027404E-2</v>
      </c>
      <c r="AG18" s="2">
        <f t="shared" si="5"/>
        <v>13</v>
      </c>
      <c r="AH18" s="3">
        <v>0.95993952980960418</v>
      </c>
      <c r="AI18" s="3">
        <v>0.31363065051710881</v>
      </c>
      <c r="AK18" s="2">
        <f t="shared" si="6"/>
        <v>13</v>
      </c>
      <c r="AL18" s="3">
        <v>1.338239599753413E-2</v>
      </c>
      <c r="AM18" s="3">
        <v>0.2113072148998798</v>
      </c>
      <c r="AO18" s="2">
        <f t="shared" si="7"/>
        <v>13</v>
      </c>
      <c r="AP18" s="3">
        <v>2.8923472507629701E-2</v>
      </c>
      <c r="AQ18" s="3">
        <v>0.2025871381549158</v>
      </c>
      <c r="AS18" s="2">
        <f t="shared" si="8"/>
        <v>13</v>
      </c>
      <c r="AT18" s="3">
        <v>0.2261480692409783</v>
      </c>
      <c r="AU18" s="3">
        <v>0.25359918808201171</v>
      </c>
    </row>
    <row r="19" spans="4:47" x14ac:dyDescent="0.25">
      <c r="D19" s="2">
        <f t="shared" si="0"/>
        <v>14</v>
      </c>
      <c r="E19" s="3">
        <v>0.89799217174016066</v>
      </c>
      <c r="F19" s="3">
        <v>0.31364417652716903</v>
      </c>
      <c r="J19" s="2">
        <f t="shared" si="1"/>
        <v>14</v>
      </c>
      <c r="K19" s="3">
        <v>0.90407835765922895</v>
      </c>
      <c r="L19" s="3">
        <v>0.3304309515370687</v>
      </c>
      <c r="P19" s="2">
        <f t="shared" si="2"/>
        <v>14</v>
      </c>
      <c r="Q19" s="3">
        <v>0.9069682665093971</v>
      </c>
      <c r="R19" s="3">
        <v>0.30549426965808041</v>
      </c>
      <c r="V19" s="2">
        <f t="shared" si="3"/>
        <v>14</v>
      </c>
      <c r="W19" s="3">
        <v>0.90997757893818065</v>
      </c>
      <c r="X19" s="3">
        <v>0.33945686412592557</v>
      </c>
      <c r="AB19" s="2">
        <f t="shared" si="4"/>
        <v>14</v>
      </c>
      <c r="AC19" s="3">
        <v>0.2663038971207955</v>
      </c>
      <c r="AD19" s="3">
        <v>0.20725940850921121</v>
      </c>
      <c r="AG19" s="2">
        <f t="shared" si="5"/>
        <v>14</v>
      </c>
      <c r="AH19" s="3">
        <v>0.96315064420419405</v>
      </c>
      <c r="AI19" s="3">
        <v>0.30401439194729463</v>
      </c>
      <c r="AK19" s="2">
        <f t="shared" si="6"/>
        <v>14</v>
      </c>
      <c r="AL19" s="3">
        <v>1.1176165345831161E-2</v>
      </c>
      <c r="AM19" s="3">
        <v>0.23971845895881361</v>
      </c>
      <c r="AO19" s="2">
        <f t="shared" si="7"/>
        <v>14</v>
      </c>
      <c r="AP19" s="3">
        <v>2.8325919403971962E-2</v>
      </c>
      <c r="AQ19" s="3">
        <v>0.2126894870936735</v>
      </c>
      <c r="AS19" s="2">
        <f t="shared" si="8"/>
        <v>14</v>
      </c>
      <c r="AT19" s="3">
        <v>0.22465981220047709</v>
      </c>
      <c r="AU19" s="3">
        <v>0.2451337798848103</v>
      </c>
    </row>
    <row r="20" spans="4:47" x14ac:dyDescent="0.25">
      <c r="D20" s="2">
        <f t="shared" si="0"/>
        <v>15</v>
      </c>
      <c r="E20" s="3">
        <v>0.89389352546193801</v>
      </c>
      <c r="F20" s="3">
        <v>0.29548887863172663</v>
      </c>
      <c r="J20" s="2">
        <f t="shared" si="1"/>
        <v>15</v>
      </c>
      <c r="K20" s="3">
        <v>0.90375598082407904</v>
      </c>
      <c r="L20" s="3">
        <v>0.299373351706543</v>
      </c>
      <c r="P20" s="2">
        <f t="shared" si="2"/>
        <v>15</v>
      </c>
      <c r="Q20" s="3">
        <v>0.90891542634736688</v>
      </c>
      <c r="R20" s="3">
        <v>0.28729591536322102</v>
      </c>
      <c r="V20" s="2">
        <f t="shared" si="3"/>
        <v>15</v>
      </c>
      <c r="W20" s="3">
        <v>0.91209472365433397</v>
      </c>
      <c r="X20" s="3">
        <v>0.34916664239529083</v>
      </c>
      <c r="AB20" s="2">
        <f t="shared" si="4"/>
        <v>15</v>
      </c>
      <c r="AC20" s="3">
        <v>0.26972569113027972</v>
      </c>
      <c r="AD20" s="3">
        <v>0.2184736127384419</v>
      </c>
      <c r="AG20" s="2">
        <f t="shared" si="5"/>
        <v>15</v>
      </c>
      <c r="AH20" s="3">
        <v>0.96497234955407185</v>
      </c>
      <c r="AI20" s="3">
        <v>0.29199560186065571</v>
      </c>
      <c r="AK20" s="2">
        <f t="shared" si="6"/>
        <v>15</v>
      </c>
      <c r="AL20" s="3">
        <v>1.102859500001073E-2</v>
      </c>
      <c r="AM20" s="3">
        <v>0.21592985743695831</v>
      </c>
      <c r="AO20" s="2">
        <f t="shared" si="7"/>
        <v>15</v>
      </c>
      <c r="AP20" s="3">
        <v>2.9278868997181989E-2</v>
      </c>
      <c r="AQ20" s="3">
        <v>0.20451639326589879</v>
      </c>
      <c r="AS20" s="2">
        <f t="shared" si="8"/>
        <v>15</v>
      </c>
      <c r="AT20" s="3">
        <v>0.22253921601875259</v>
      </c>
      <c r="AU20" s="3">
        <v>0.2420095920753611</v>
      </c>
    </row>
    <row r="21" spans="4:47" x14ac:dyDescent="0.25">
      <c r="D21" s="2">
        <f t="shared" si="0"/>
        <v>16</v>
      </c>
      <c r="E21" s="3">
        <v>0.89844342298667401</v>
      </c>
      <c r="F21" s="3">
        <v>0.29904476936040209</v>
      </c>
      <c r="J21" s="2">
        <f t="shared" si="1"/>
        <v>16</v>
      </c>
      <c r="K21" s="3">
        <v>0.90525037853355683</v>
      </c>
      <c r="L21" s="3">
        <v>0.27452247831120918</v>
      </c>
      <c r="P21" s="2">
        <f t="shared" si="2"/>
        <v>16</v>
      </c>
      <c r="Q21" s="3">
        <v>0.90514206201650027</v>
      </c>
      <c r="R21" s="3">
        <v>0.32283470611445708</v>
      </c>
      <c r="V21" s="2">
        <f t="shared" si="3"/>
        <v>16</v>
      </c>
      <c r="W21" s="3">
        <v>0.91180620796185052</v>
      </c>
      <c r="X21" s="3">
        <v>0.3441756986153196</v>
      </c>
      <c r="AB21" s="2">
        <f t="shared" si="4"/>
        <v>16</v>
      </c>
      <c r="AC21" s="3">
        <v>0.26075261944389772</v>
      </c>
      <c r="AD21" s="3">
        <v>0.21435814553611399</v>
      </c>
      <c r="AG21" s="2">
        <f t="shared" si="5"/>
        <v>16</v>
      </c>
      <c r="AH21" s="3">
        <v>0.96074049144284146</v>
      </c>
      <c r="AI21" s="3">
        <v>0.23426162463259109</v>
      </c>
      <c r="AK21" s="2">
        <f t="shared" si="6"/>
        <v>16</v>
      </c>
      <c r="AL21" s="3">
        <v>1.1197293074098341E-2</v>
      </c>
      <c r="AM21" s="3">
        <v>0.19739282235455499</v>
      </c>
      <c r="AO21" s="2">
        <f t="shared" si="7"/>
        <v>16</v>
      </c>
      <c r="AP21" s="3">
        <v>2.9788303486703419E-2</v>
      </c>
      <c r="AQ21" s="3">
        <v>0.19680790379346111</v>
      </c>
      <c r="AS21" s="2">
        <f t="shared" si="8"/>
        <v>16</v>
      </c>
      <c r="AT21" s="3">
        <v>0.23202886833192041</v>
      </c>
      <c r="AU21" s="3">
        <v>0.24237629285922041</v>
      </c>
    </row>
    <row r="22" spans="4:47" x14ac:dyDescent="0.25">
      <c r="D22" s="2">
        <f t="shared" si="0"/>
        <v>17</v>
      </c>
      <c r="E22" s="3">
        <v>0.8945468918617312</v>
      </c>
      <c r="F22" s="3">
        <v>0.30961312774935412</v>
      </c>
      <c r="J22" s="2">
        <f t="shared" si="1"/>
        <v>17</v>
      </c>
      <c r="K22" s="3">
        <v>0.9053819583948155</v>
      </c>
      <c r="L22" s="3">
        <v>0.29748372126577061</v>
      </c>
      <c r="P22" s="2">
        <f t="shared" si="2"/>
        <v>17</v>
      </c>
      <c r="Q22" s="3">
        <v>0.90354728790772931</v>
      </c>
      <c r="R22" s="3">
        <v>0.34791311662321012</v>
      </c>
      <c r="V22" s="2">
        <f t="shared" si="3"/>
        <v>17</v>
      </c>
      <c r="W22" s="3">
        <v>0.91166712231578073</v>
      </c>
      <c r="X22" s="3">
        <v>0.32367387023366728</v>
      </c>
      <c r="AB22" s="2">
        <f t="shared" si="4"/>
        <v>17</v>
      </c>
      <c r="AC22" s="3">
        <v>0.26455702041975332</v>
      </c>
      <c r="AD22" s="3">
        <v>0.20407981322167831</v>
      </c>
      <c r="AG22" s="2">
        <f t="shared" si="5"/>
        <v>17</v>
      </c>
      <c r="AH22" s="3">
        <v>0.96351323887493445</v>
      </c>
      <c r="AI22" s="3">
        <v>0.27496576232248832</v>
      </c>
      <c r="AK22" s="2">
        <f t="shared" si="6"/>
        <v>17</v>
      </c>
      <c r="AL22" s="3">
        <v>1.180240887821841E-2</v>
      </c>
      <c r="AM22" s="3">
        <v>0.21134900189297501</v>
      </c>
      <c r="AO22" s="2">
        <f t="shared" si="7"/>
        <v>17</v>
      </c>
      <c r="AP22" s="3">
        <v>2.9813802552078331E-2</v>
      </c>
      <c r="AQ22" s="3">
        <v>0.18898453449153721</v>
      </c>
      <c r="AS22" s="2">
        <f t="shared" si="8"/>
        <v>17</v>
      </c>
      <c r="AT22" s="3">
        <v>0.2242521820678442</v>
      </c>
      <c r="AU22" s="3">
        <v>0.26959081253108502</v>
      </c>
    </row>
    <row r="23" spans="4:47" x14ac:dyDescent="0.25">
      <c r="D23" s="2">
        <f t="shared" si="0"/>
        <v>18</v>
      </c>
      <c r="E23" s="3">
        <v>0.89661243904052168</v>
      </c>
      <c r="F23" s="3">
        <v>0.29301145323821459</v>
      </c>
      <c r="J23" s="2">
        <f t="shared" si="1"/>
        <v>18</v>
      </c>
      <c r="K23" s="3">
        <v>0.90312486924599744</v>
      </c>
      <c r="L23" s="3">
        <v>0.30117321776116862</v>
      </c>
      <c r="P23" s="2">
        <f t="shared" si="2"/>
        <v>18</v>
      </c>
      <c r="Q23" s="3">
        <v>0.90626839177978047</v>
      </c>
      <c r="R23" s="3">
        <v>0.27819203103218942</v>
      </c>
      <c r="V23" s="2">
        <f t="shared" si="3"/>
        <v>18</v>
      </c>
      <c r="W23" s="3">
        <v>0.91027726919061158</v>
      </c>
      <c r="X23" s="3">
        <v>0.38153316128653608</v>
      </c>
      <c r="AB23" s="2">
        <f t="shared" si="4"/>
        <v>18</v>
      </c>
      <c r="AC23" s="3">
        <v>0.25425525322141379</v>
      </c>
      <c r="AD23" s="3">
        <v>0.222716254740814</v>
      </c>
      <c r="AG23" s="2">
        <f t="shared" si="5"/>
        <v>18</v>
      </c>
      <c r="AH23" s="3">
        <v>0.95910346148524417</v>
      </c>
      <c r="AI23" s="3">
        <v>0.26630282686007301</v>
      </c>
      <c r="AK23" s="2">
        <f t="shared" si="6"/>
        <v>18</v>
      </c>
      <c r="AL23" s="3">
        <v>1.1116749557755009E-2</v>
      </c>
      <c r="AM23" s="3">
        <v>0.19714719451353921</v>
      </c>
      <c r="AO23" s="2">
        <f t="shared" si="7"/>
        <v>18</v>
      </c>
      <c r="AP23" s="3">
        <v>2.899907824888091E-2</v>
      </c>
      <c r="AQ23" s="3">
        <v>0.22094007661125409</v>
      </c>
      <c r="AS23" s="2">
        <f t="shared" si="8"/>
        <v>18</v>
      </c>
      <c r="AT23" s="3">
        <v>0.24377026230159221</v>
      </c>
      <c r="AU23" s="3">
        <v>0.22718252038308909</v>
      </c>
    </row>
    <row r="24" spans="4:47" x14ac:dyDescent="0.25">
      <c r="D24" s="2">
        <f t="shared" si="0"/>
        <v>19</v>
      </c>
      <c r="E24" s="3">
        <v>0.89704969500031972</v>
      </c>
      <c r="F24" s="3">
        <v>0.30596824557868019</v>
      </c>
      <c r="J24" s="2">
        <f t="shared" si="1"/>
        <v>19</v>
      </c>
      <c r="K24" s="3">
        <v>0.89982690998032533</v>
      </c>
      <c r="L24" s="3">
        <v>0.3167875381638966</v>
      </c>
      <c r="P24" s="2">
        <f t="shared" si="2"/>
        <v>19</v>
      </c>
      <c r="Q24" s="3">
        <v>0.90677026900242663</v>
      </c>
      <c r="R24" s="3">
        <v>0.33051649428899599</v>
      </c>
      <c r="V24" s="2">
        <f t="shared" si="3"/>
        <v>19</v>
      </c>
      <c r="W24" s="3">
        <v>0.91053679469203419</v>
      </c>
      <c r="X24" s="3">
        <v>0.36349344312586213</v>
      </c>
      <c r="AB24" s="2">
        <f t="shared" si="4"/>
        <v>19</v>
      </c>
      <c r="AC24" s="3">
        <v>0.26566699159798168</v>
      </c>
      <c r="AD24" s="3">
        <v>0.1909353412867659</v>
      </c>
      <c r="AG24" s="2">
        <f t="shared" si="5"/>
        <v>19</v>
      </c>
      <c r="AH24" s="3">
        <v>0.96391149808368592</v>
      </c>
      <c r="AI24" s="3">
        <v>0.28591878350636718</v>
      </c>
      <c r="AK24" s="2">
        <f t="shared" si="6"/>
        <v>19</v>
      </c>
      <c r="AL24" s="3">
        <v>1.012922554058957E-2</v>
      </c>
      <c r="AM24" s="3">
        <v>0.22359089695122561</v>
      </c>
      <c r="AO24" s="2">
        <f t="shared" si="7"/>
        <v>19</v>
      </c>
      <c r="AP24" s="3">
        <v>2.949958299923924E-2</v>
      </c>
      <c r="AQ24" s="3">
        <v>0.20604642968540501</v>
      </c>
      <c r="AS24" s="2">
        <f t="shared" si="8"/>
        <v>19</v>
      </c>
      <c r="AT24" s="3">
        <v>0.22160099028528429</v>
      </c>
      <c r="AU24" s="3">
        <v>0.26034395985747127</v>
      </c>
    </row>
    <row r="25" spans="4:47" x14ac:dyDescent="0.25">
      <c r="D25" s="2">
        <f t="shared" si="0"/>
        <v>20</v>
      </c>
      <c r="E25" s="3">
        <v>0.89611185474293498</v>
      </c>
      <c r="F25" s="3">
        <v>0.24968965398616469</v>
      </c>
      <c r="J25" s="2">
        <f t="shared" si="1"/>
        <v>20</v>
      </c>
      <c r="K25" s="3">
        <v>0.90105691939190313</v>
      </c>
      <c r="L25" s="3">
        <v>0.30649863501180208</v>
      </c>
      <c r="P25" s="2">
        <f t="shared" si="2"/>
        <v>20</v>
      </c>
      <c r="Q25" s="3">
        <v>0.90774746551355912</v>
      </c>
      <c r="R25" s="3">
        <v>0.31334375349141319</v>
      </c>
      <c r="V25" s="2">
        <f t="shared" si="3"/>
        <v>20</v>
      </c>
      <c r="W25" s="3">
        <v>0.90928044916626938</v>
      </c>
      <c r="X25" s="3">
        <v>0.39013366290362861</v>
      </c>
      <c r="AB25" s="2">
        <f t="shared" si="4"/>
        <v>20</v>
      </c>
      <c r="AC25" s="3">
        <v>0.2127553945268825</v>
      </c>
      <c r="AD25" s="3">
        <v>0.1765746262935092</v>
      </c>
      <c r="AG25" s="2">
        <f t="shared" si="5"/>
        <v>20</v>
      </c>
      <c r="AH25" s="3">
        <v>0.95815139395019888</v>
      </c>
      <c r="AI25" s="3">
        <v>0.32805251964219689</v>
      </c>
      <c r="AK25" s="2">
        <f t="shared" si="6"/>
        <v>20</v>
      </c>
      <c r="AL25" s="3">
        <v>1.116247950879933E-2</v>
      </c>
      <c r="AM25" s="3">
        <v>0.22588418899393789</v>
      </c>
      <c r="AO25" s="2">
        <f t="shared" si="7"/>
        <v>20</v>
      </c>
      <c r="AP25" s="3">
        <v>2.8118248588614898E-2</v>
      </c>
      <c r="AQ25" s="3">
        <v>0.21355086867828471</v>
      </c>
      <c r="AS25" s="2">
        <f t="shared" si="8"/>
        <v>20</v>
      </c>
      <c r="AT25" s="3">
        <v>0.2273857703151666</v>
      </c>
      <c r="AU25" s="3">
        <v>0.2219827116157766</v>
      </c>
    </row>
    <row r="26" spans="4:47" x14ac:dyDescent="0.25">
      <c r="D26" s="2">
        <f t="shared" si="0"/>
        <v>21</v>
      </c>
      <c r="E26" s="3">
        <v>0.89721925342926112</v>
      </c>
      <c r="F26" s="3">
        <v>0.30089253148125578</v>
      </c>
      <c r="J26" s="2">
        <f t="shared" si="1"/>
        <v>21</v>
      </c>
      <c r="K26" s="3">
        <v>0.90195585669729206</v>
      </c>
      <c r="L26" s="3">
        <v>0.32358771295802219</v>
      </c>
      <c r="P26" s="2">
        <f t="shared" si="2"/>
        <v>21</v>
      </c>
      <c r="Q26" s="3">
        <v>0.90547632321899174</v>
      </c>
      <c r="R26" s="3">
        <v>0.32047435147645048</v>
      </c>
      <c r="V26" s="2">
        <f t="shared" si="3"/>
        <v>21</v>
      </c>
      <c r="W26" s="3">
        <v>0.91125794568695351</v>
      </c>
      <c r="X26" s="3">
        <v>0.36123939362136481</v>
      </c>
      <c r="AB26" s="2"/>
      <c r="AC26" s="3"/>
      <c r="AD26" s="3"/>
      <c r="AG26" s="2"/>
      <c r="AH26" s="3"/>
      <c r="AI26" s="3"/>
      <c r="AK26" s="2"/>
      <c r="AL26" s="3"/>
      <c r="AM26" s="3"/>
      <c r="AO26" s="2"/>
      <c r="AP26" s="3"/>
      <c r="AQ26" s="3"/>
      <c r="AS26" s="2"/>
      <c r="AT26" s="3"/>
      <c r="AU26" s="3"/>
    </row>
    <row r="27" spans="4:47" x14ac:dyDescent="0.25">
      <c r="D27" s="2">
        <f t="shared" si="0"/>
        <v>22</v>
      </c>
      <c r="E27" s="3">
        <v>0.89640534499323843</v>
      </c>
      <c r="F27" s="3">
        <v>0.28898947601744851</v>
      </c>
      <c r="J27" s="2">
        <f t="shared" si="1"/>
        <v>22</v>
      </c>
      <c r="K27" s="3">
        <v>0.90670514368487454</v>
      </c>
      <c r="L27" s="3">
        <v>0.25690366746712889</v>
      </c>
      <c r="P27" s="2">
        <f t="shared" si="2"/>
        <v>22</v>
      </c>
      <c r="Q27" s="3">
        <v>0.90521034191213445</v>
      </c>
      <c r="R27" s="3">
        <v>0.35566017575288672</v>
      </c>
      <c r="V27" s="2">
        <f t="shared" si="3"/>
        <v>22</v>
      </c>
      <c r="W27" s="3">
        <v>0.90692237995498859</v>
      </c>
      <c r="X27" s="3">
        <v>0.40655641561173878</v>
      </c>
      <c r="AB27" s="2"/>
      <c r="AC27" s="3"/>
      <c r="AD27" s="3"/>
      <c r="AG27" s="2"/>
      <c r="AH27" s="3"/>
      <c r="AI27" s="3"/>
      <c r="AK27" s="2"/>
      <c r="AL27" s="3"/>
      <c r="AM27" s="3"/>
      <c r="AO27" s="2"/>
      <c r="AP27" s="3"/>
      <c r="AQ27" s="3"/>
      <c r="AS27" s="2"/>
      <c r="AT27" s="3"/>
      <c r="AU27" s="3"/>
    </row>
    <row r="28" spans="4:47" x14ac:dyDescent="0.25">
      <c r="D28" s="2">
        <f t="shared" si="0"/>
        <v>23</v>
      </c>
      <c r="E28" s="3">
        <v>0.8992682546853128</v>
      </c>
      <c r="F28" s="3">
        <v>0.26382343512627221</v>
      </c>
      <c r="J28" s="2">
        <f t="shared" si="1"/>
        <v>23</v>
      </c>
      <c r="K28" s="3">
        <v>0.89853178284665669</v>
      </c>
      <c r="L28" s="3">
        <v>0.33705456531061212</v>
      </c>
      <c r="P28" s="2">
        <f t="shared" si="2"/>
        <v>23</v>
      </c>
      <c r="Q28" s="3">
        <v>0.90292739820445433</v>
      </c>
      <c r="R28" s="3">
        <v>0.33514263685159013</v>
      </c>
      <c r="V28" s="2">
        <f t="shared" si="3"/>
        <v>23</v>
      </c>
      <c r="W28" s="3">
        <v>0.91179107298108009</v>
      </c>
      <c r="X28" s="3">
        <v>0.38001010606786589</v>
      </c>
      <c r="AB28" s="2" t="s">
        <v>2</v>
      </c>
      <c r="AC28" s="3">
        <f>AVERAGE(AC6:AC25)</f>
        <v>0.24080779819153147</v>
      </c>
      <c r="AD28" s="3">
        <f>AVERAGE(AD6:AD25)</f>
        <v>0.1861511106237522</v>
      </c>
      <c r="AG28" s="2" t="s">
        <v>2</v>
      </c>
      <c r="AH28" s="3">
        <f>AVERAGE(AH6:AH25)</f>
        <v>0.96222283631706618</v>
      </c>
      <c r="AI28" s="3">
        <f>AVERAGE(AI6:AI25)</f>
        <v>0.29300290090005748</v>
      </c>
      <c r="AK28" s="2" t="s">
        <v>2</v>
      </c>
      <c r="AL28" s="3">
        <f>AVERAGE(AL6:AL25)</f>
        <v>1.1543243022799644E-2</v>
      </c>
      <c r="AM28" s="8">
        <f>AVERAGE(AM6:AM25)</f>
        <v>0.21665741561406376</v>
      </c>
      <c r="AO28" s="2" t="s">
        <v>2</v>
      </c>
      <c r="AP28" s="3">
        <f>AVERAGE(AP6:AP25)</f>
        <v>2.9014729805619026E-2</v>
      </c>
      <c r="AQ28" s="8">
        <f>AVERAGE(AQ6:AQ25)</f>
        <v>0.20397178551328463</v>
      </c>
      <c r="AS28" s="2" t="s">
        <v>2</v>
      </c>
      <c r="AT28" s="3">
        <f>AVERAGE(AT6:AT25)</f>
        <v>0.23060728583561468</v>
      </c>
      <c r="AU28" s="8">
        <f>AVERAGE(AU6:AU25)</f>
        <v>0.24803182085475553</v>
      </c>
    </row>
    <row r="29" spans="4:47" x14ac:dyDescent="0.25">
      <c r="D29" s="2">
        <f t="shared" si="0"/>
        <v>24</v>
      </c>
      <c r="E29" s="3">
        <v>0.89815425245495906</v>
      </c>
      <c r="F29" s="3">
        <v>0.30244915485993162</v>
      </c>
      <c r="J29" s="2">
        <f t="shared" si="1"/>
        <v>24</v>
      </c>
      <c r="K29" s="3">
        <v>0.90257769247556818</v>
      </c>
      <c r="L29" s="3">
        <v>0.32782769567709319</v>
      </c>
      <c r="P29" s="2">
        <f t="shared" si="2"/>
        <v>24</v>
      </c>
      <c r="Q29" s="3">
        <v>0.90772126145404974</v>
      </c>
      <c r="R29" s="3">
        <v>0.30821721905365829</v>
      </c>
      <c r="V29" s="2">
        <f t="shared" si="3"/>
        <v>24</v>
      </c>
      <c r="W29" s="3">
        <v>0.90715917898088139</v>
      </c>
      <c r="X29" s="3">
        <v>0.38210824174425989</v>
      </c>
      <c r="AB29" s="2" t="s">
        <v>3</v>
      </c>
      <c r="AC29" s="3">
        <f>_xlfn.STDEV.S(AC6:AC25)</f>
        <v>4.0244067809304632E-2</v>
      </c>
      <c r="AD29" s="3">
        <f>_xlfn.STDEV.S(AD6:AD25)</f>
        <v>5.4665543832880352E-2</v>
      </c>
      <c r="AG29" s="2" t="s">
        <v>3</v>
      </c>
      <c r="AH29" s="3">
        <f>_xlfn.STDEV.S(AH6:AH25)</f>
        <v>2.1483654945221127E-3</v>
      </c>
      <c r="AI29" s="3">
        <f>_xlfn.STDEV.S(AI6:AI25)</f>
        <v>2.9330468329519251E-2</v>
      </c>
      <c r="AK29" s="2" t="s">
        <v>3</v>
      </c>
      <c r="AL29" s="3">
        <f>_xlfn.STDEV.S(AL6:AL25)</f>
        <v>7.5624416345144291E-4</v>
      </c>
      <c r="AM29" s="3">
        <f>_xlfn.STDEV.S(AM6:AM25)</f>
        <v>1.3848516663873725E-2</v>
      </c>
      <c r="AO29" s="2" t="s">
        <v>3</v>
      </c>
      <c r="AP29" s="3">
        <f>_xlfn.STDEV.S(AP6:AP25)</f>
        <v>6.0476718901545084E-4</v>
      </c>
      <c r="AQ29" s="3">
        <f>_xlfn.STDEV.S(AQ6:AQ25)</f>
        <v>1.1898745435308345E-2</v>
      </c>
      <c r="AS29" s="2" t="s">
        <v>3</v>
      </c>
      <c r="AT29" s="3">
        <f>_xlfn.STDEV.S(AT6:AT25)</f>
        <v>9.2266659849244738E-3</v>
      </c>
      <c r="AU29" s="3">
        <f>_xlfn.STDEV.S(AU6:AU25)</f>
        <v>2.0909474151486817E-2</v>
      </c>
    </row>
    <row r="30" spans="4:47" x14ac:dyDescent="0.25">
      <c r="D30" s="2">
        <f t="shared" si="0"/>
        <v>25</v>
      </c>
      <c r="E30" s="3">
        <v>0.89928524223062412</v>
      </c>
      <c r="F30" s="3">
        <v>0.28704568827427568</v>
      </c>
      <c r="J30" s="2">
        <f t="shared" si="1"/>
        <v>25</v>
      </c>
      <c r="K30" s="3">
        <v>0.90321466383614424</v>
      </c>
      <c r="L30" s="3">
        <v>0.32067460917560342</v>
      </c>
      <c r="P30" s="2">
        <f t="shared" si="2"/>
        <v>25</v>
      </c>
      <c r="Q30" s="3">
        <v>0.904697421130913</v>
      </c>
      <c r="R30" s="3">
        <v>0.34914379939291379</v>
      </c>
      <c r="V30" s="2">
        <f t="shared" si="3"/>
        <v>25</v>
      </c>
      <c r="W30" s="3">
        <v>0.90922311824387758</v>
      </c>
      <c r="X30" s="3">
        <v>0.37847927180935031</v>
      </c>
    </row>
    <row r="31" spans="4:47" x14ac:dyDescent="0.25">
      <c r="D31" s="2">
        <f t="shared" si="0"/>
        <v>26</v>
      </c>
      <c r="E31" s="3">
        <v>0.89804849017084609</v>
      </c>
      <c r="F31" s="3">
        <v>0.29279654586376519</v>
      </c>
      <c r="J31" s="2">
        <f t="shared" si="1"/>
        <v>26</v>
      </c>
      <c r="K31" s="3">
        <v>0.90444929421809273</v>
      </c>
      <c r="L31" s="3">
        <v>0.31157238001884541</v>
      </c>
      <c r="P31" s="2">
        <f t="shared" si="2"/>
        <v>26</v>
      </c>
      <c r="Q31" s="3">
        <v>0.90718240503389791</v>
      </c>
      <c r="R31" s="3">
        <v>0.31181950741017489</v>
      </c>
      <c r="V31" s="2">
        <f t="shared" si="3"/>
        <v>26</v>
      </c>
      <c r="W31" s="3">
        <v>0.91016619522780307</v>
      </c>
      <c r="X31" s="3">
        <v>0.36834541782196389</v>
      </c>
    </row>
    <row r="32" spans="4:47" x14ac:dyDescent="0.25">
      <c r="D32" s="2">
        <f t="shared" si="0"/>
        <v>27</v>
      </c>
      <c r="E32" s="3">
        <v>0.89617613229107296</v>
      </c>
      <c r="F32" s="3">
        <v>0.27841261887597002</v>
      </c>
      <c r="J32" s="2">
        <f t="shared" si="1"/>
        <v>27</v>
      </c>
      <c r="K32" s="3">
        <v>0.90244749673008584</v>
      </c>
      <c r="L32" s="3">
        <v>0.33405339788006028</v>
      </c>
      <c r="P32" s="2">
        <f t="shared" si="2"/>
        <v>27</v>
      </c>
      <c r="Q32" s="3">
        <v>0.90732264106647842</v>
      </c>
      <c r="R32" s="3">
        <v>0.3091955641571783</v>
      </c>
      <c r="V32" s="2">
        <f t="shared" si="3"/>
        <v>27</v>
      </c>
      <c r="W32" s="3">
        <v>0.90570372254268894</v>
      </c>
      <c r="X32" s="3">
        <v>0.380444456752696</v>
      </c>
    </row>
    <row r="33" spans="4:24" x14ac:dyDescent="0.25">
      <c r="D33" s="2">
        <f t="shared" si="0"/>
        <v>28</v>
      </c>
      <c r="E33" s="3">
        <v>0.89819561170927487</v>
      </c>
      <c r="F33" s="3">
        <v>0.27460237732291892</v>
      </c>
      <c r="J33" s="2">
        <f t="shared" si="1"/>
        <v>28</v>
      </c>
      <c r="K33" s="3">
        <v>0.90355283847609014</v>
      </c>
      <c r="L33" s="3">
        <v>0.33322278487284113</v>
      </c>
      <c r="P33" s="2">
        <f t="shared" si="2"/>
        <v>28</v>
      </c>
      <c r="Q33" s="3">
        <v>0.90276746056687007</v>
      </c>
      <c r="R33" s="3">
        <v>0.33298812020121588</v>
      </c>
      <c r="V33" s="2">
        <f t="shared" si="3"/>
        <v>28</v>
      </c>
      <c r="W33" s="3">
        <v>0.91428860615041374</v>
      </c>
      <c r="X33" s="3">
        <v>0.32701664900322253</v>
      </c>
    </row>
    <row r="34" spans="4:24" x14ac:dyDescent="0.25">
      <c r="D34" s="2">
        <f t="shared" si="0"/>
        <v>29</v>
      </c>
      <c r="E34" s="3">
        <v>0.89862453096985084</v>
      </c>
      <c r="F34" s="3">
        <v>0.2235630712993191</v>
      </c>
      <c r="J34" s="2">
        <f t="shared" si="1"/>
        <v>29</v>
      </c>
      <c r="K34" s="3">
        <v>0.90197776417156084</v>
      </c>
      <c r="L34" s="3">
        <v>0.31601097752112872</v>
      </c>
      <c r="P34" s="2">
        <f t="shared" si="2"/>
        <v>29</v>
      </c>
      <c r="Q34" s="3">
        <v>0.90660429609040316</v>
      </c>
      <c r="R34" s="3">
        <v>0.30580620990159341</v>
      </c>
      <c r="V34" s="2">
        <f t="shared" si="3"/>
        <v>29</v>
      </c>
      <c r="W34" s="3">
        <v>0.91090642277278777</v>
      </c>
      <c r="X34" s="3">
        <v>0.33675509576834722</v>
      </c>
    </row>
    <row r="35" spans="4:24" x14ac:dyDescent="0.25">
      <c r="D35" s="2">
        <f t="shared" si="0"/>
        <v>30</v>
      </c>
      <c r="E35" s="3">
        <v>0.89830333750867619</v>
      </c>
      <c r="F35" s="3">
        <v>0.25270065629008892</v>
      </c>
      <c r="J35" s="2">
        <f t="shared" si="1"/>
        <v>30</v>
      </c>
      <c r="K35" s="3">
        <v>0.90536613673469923</v>
      </c>
      <c r="L35" s="3">
        <v>0.26231035959351068</v>
      </c>
      <c r="P35" s="2">
        <f t="shared" si="2"/>
        <v>30</v>
      </c>
      <c r="Q35" s="3">
        <v>0.907372243852134</v>
      </c>
      <c r="R35" s="3">
        <v>0.33211367010758341</v>
      </c>
      <c r="V35" s="2">
        <f t="shared" si="3"/>
        <v>30</v>
      </c>
      <c r="W35" s="3">
        <v>0.90971187802686959</v>
      </c>
      <c r="X35" s="3">
        <v>0.39289839745223359</v>
      </c>
    </row>
    <row r="36" spans="4:24" x14ac:dyDescent="0.25">
      <c r="D36" s="2">
        <f t="shared" si="0"/>
        <v>31</v>
      </c>
      <c r="E36" s="3">
        <v>0.89615609958482612</v>
      </c>
      <c r="F36" s="3">
        <v>0.25803149899587258</v>
      </c>
      <c r="J36" s="2">
        <f t="shared" si="1"/>
        <v>31</v>
      </c>
      <c r="K36" s="3">
        <v>0.90197820887766367</v>
      </c>
      <c r="L36" s="3">
        <v>0.3322903874423534</v>
      </c>
      <c r="P36" s="2">
        <f t="shared" si="2"/>
        <v>31</v>
      </c>
      <c r="Q36" s="3">
        <v>0.90614418710388023</v>
      </c>
      <c r="R36" s="3">
        <v>0.29615609697219258</v>
      </c>
      <c r="V36" s="2">
        <f t="shared" si="3"/>
        <v>31</v>
      </c>
      <c r="W36" s="3">
        <v>0.91281901631766182</v>
      </c>
      <c r="X36" s="3">
        <v>0.33593958046317479</v>
      </c>
    </row>
    <row r="37" spans="4:24" x14ac:dyDescent="0.25">
      <c r="D37" s="2">
        <f t="shared" si="0"/>
        <v>32</v>
      </c>
      <c r="E37" s="3">
        <v>0.89655359841142035</v>
      </c>
      <c r="F37" s="3">
        <v>0.26976277615200661</v>
      </c>
      <c r="J37" s="2">
        <f t="shared" si="1"/>
        <v>32</v>
      </c>
      <c r="K37" s="3">
        <v>0.90298836504826774</v>
      </c>
      <c r="L37" s="3">
        <v>0.31742056780640121</v>
      </c>
      <c r="P37" s="2">
        <f t="shared" si="2"/>
        <v>32</v>
      </c>
      <c r="Q37" s="3">
        <v>0.90682318086615654</v>
      </c>
      <c r="R37" s="3">
        <v>0.29381406280476791</v>
      </c>
      <c r="V37" s="2">
        <f t="shared" si="3"/>
        <v>32</v>
      </c>
      <c r="W37" s="3">
        <v>0.91171634477563079</v>
      </c>
      <c r="X37" s="3">
        <v>0.33147875475970873</v>
      </c>
    </row>
    <row r="38" spans="4:24" x14ac:dyDescent="0.25">
      <c r="D38" s="2">
        <f t="shared" si="0"/>
        <v>33</v>
      </c>
      <c r="E38" s="3">
        <v>0.89687879949098082</v>
      </c>
      <c r="F38" s="3">
        <v>0.26570226191517909</v>
      </c>
      <c r="J38" s="2">
        <f t="shared" si="1"/>
        <v>33</v>
      </c>
      <c r="K38" s="3">
        <v>0.90252502447082661</v>
      </c>
      <c r="L38" s="3">
        <v>0.33576606744126991</v>
      </c>
      <c r="P38" s="2">
        <f t="shared" si="2"/>
        <v>33</v>
      </c>
      <c r="Q38" s="3">
        <v>0.90774080246328848</v>
      </c>
      <c r="R38" s="3">
        <v>0.29108931258119852</v>
      </c>
      <c r="V38" s="2">
        <f t="shared" si="3"/>
        <v>33</v>
      </c>
      <c r="W38" s="3">
        <v>0.91153107448643322</v>
      </c>
      <c r="X38" s="3">
        <v>0.36283344915887489</v>
      </c>
    </row>
    <row r="39" spans="4:24" x14ac:dyDescent="0.25">
      <c r="D39" s="2">
        <f t="shared" si="0"/>
        <v>34</v>
      </c>
      <c r="E39" s="3">
        <v>0.89791636842458056</v>
      </c>
      <c r="F39" s="3">
        <v>0.2707900903834477</v>
      </c>
      <c r="J39" s="2">
        <f t="shared" si="1"/>
        <v>34</v>
      </c>
      <c r="K39" s="3">
        <v>0.90369306644263347</v>
      </c>
      <c r="L39" s="3">
        <v>0.28819379189438432</v>
      </c>
      <c r="P39" s="2">
        <f t="shared" si="2"/>
        <v>34</v>
      </c>
      <c r="Q39" s="3">
        <v>0.90517543957709057</v>
      </c>
      <c r="R39" s="3">
        <v>0.35666862901144109</v>
      </c>
      <c r="V39" s="2">
        <f t="shared" si="3"/>
        <v>34</v>
      </c>
      <c r="W39" s="3">
        <v>0.9079553818824242</v>
      </c>
      <c r="X39" s="3">
        <v>0.39007098336000601</v>
      </c>
    </row>
    <row r="40" spans="4:24" x14ac:dyDescent="0.25">
      <c r="D40" s="2">
        <f t="shared" si="0"/>
        <v>35</v>
      </c>
      <c r="E40" s="3">
        <v>0.89866214526602051</v>
      </c>
      <c r="F40" s="3">
        <v>0.27287301168532668</v>
      </c>
      <c r="J40" s="2">
        <f t="shared" si="1"/>
        <v>35</v>
      </c>
      <c r="K40" s="3">
        <v>0.9024128984018176</v>
      </c>
      <c r="L40" s="3">
        <v>0.31170679963278969</v>
      </c>
      <c r="P40" s="2">
        <f t="shared" si="2"/>
        <v>35</v>
      </c>
      <c r="Q40" s="3">
        <v>0.90677225972663833</v>
      </c>
      <c r="R40" s="3">
        <v>0.34281492183782147</v>
      </c>
      <c r="V40" s="2">
        <f t="shared" si="3"/>
        <v>35</v>
      </c>
      <c r="W40" s="3">
        <v>0.91207156517525589</v>
      </c>
      <c r="X40" s="3">
        <v>0.34056059741658029</v>
      </c>
    </row>
    <row r="41" spans="4:24" x14ac:dyDescent="0.25">
      <c r="D41" s="2">
        <f t="shared" si="0"/>
        <v>36</v>
      </c>
      <c r="E41" s="3">
        <v>0.89711451066997516</v>
      </c>
      <c r="F41" s="3">
        <v>0.30263906726792372</v>
      </c>
      <c r="J41" s="2">
        <f t="shared" si="1"/>
        <v>36</v>
      </c>
      <c r="K41" s="3">
        <v>0.90449137534695201</v>
      </c>
      <c r="L41" s="3">
        <v>0.30008282622540228</v>
      </c>
      <c r="P41" s="2">
        <f t="shared" si="2"/>
        <v>36</v>
      </c>
      <c r="Q41" s="3">
        <v>0.90507710767794458</v>
      </c>
      <c r="R41" s="3">
        <v>0.31052113871149611</v>
      </c>
      <c r="V41" s="2">
        <f t="shared" si="3"/>
        <v>36</v>
      </c>
      <c r="W41" s="3">
        <v>0.91002522136297781</v>
      </c>
      <c r="X41" s="3">
        <v>0.33975032067533739</v>
      </c>
    </row>
    <row r="42" spans="4:24" x14ac:dyDescent="0.25">
      <c r="D42" s="2">
        <f t="shared" si="0"/>
        <v>37</v>
      </c>
      <c r="E42" s="3">
        <v>0.89735764765705883</v>
      </c>
      <c r="F42" s="3">
        <v>0.27080073259838822</v>
      </c>
      <c r="J42" s="2">
        <f t="shared" si="1"/>
        <v>37</v>
      </c>
      <c r="K42" s="3">
        <v>0.90345653396166736</v>
      </c>
      <c r="L42" s="3">
        <v>0.32266337145443058</v>
      </c>
      <c r="P42" s="2">
        <f t="shared" si="2"/>
        <v>37</v>
      </c>
      <c r="Q42" s="3">
        <v>0.90457541543937847</v>
      </c>
      <c r="R42" s="3">
        <v>0.35907823165696667</v>
      </c>
      <c r="V42" s="2">
        <f t="shared" si="3"/>
        <v>37</v>
      </c>
      <c r="W42" s="3">
        <v>0.91046793567113171</v>
      </c>
      <c r="X42" s="3">
        <v>0.36313494791188211</v>
      </c>
    </row>
    <row r="43" spans="4:24" x14ac:dyDescent="0.25">
      <c r="D43" s="2">
        <f t="shared" si="0"/>
        <v>38</v>
      </c>
      <c r="E43" s="3">
        <v>0.89692826001478121</v>
      </c>
      <c r="F43" s="3">
        <v>0.30235905765278381</v>
      </c>
      <c r="J43" s="2">
        <f t="shared" si="1"/>
        <v>38</v>
      </c>
      <c r="K43" s="3">
        <v>0.90231808364500043</v>
      </c>
      <c r="L43" s="3">
        <v>0.31887775230364312</v>
      </c>
      <c r="P43" s="2">
        <f t="shared" si="2"/>
        <v>38</v>
      </c>
      <c r="Q43" s="3">
        <v>0.90609319503778751</v>
      </c>
      <c r="R43" s="3">
        <v>0.31675399132070903</v>
      </c>
      <c r="V43" s="2">
        <f t="shared" si="3"/>
        <v>38</v>
      </c>
      <c r="W43" s="3">
        <v>0.90953477061713006</v>
      </c>
      <c r="X43" s="3">
        <v>0.36246967000715941</v>
      </c>
    </row>
    <row r="44" spans="4:24" x14ac:dyDescent="0.25">
      <c r="D44" s="2">
        <f t="shared" si="0"/>
        <v>39</v>
      </c>
      <c r="E44" s="3">
        <v>0.89809930626562895</v>
      </c>
      <c r="F44" s="3">
        <v>0.26999799855731288</v>
      </c>
      <c r="J44" s="2">
        <f t="shared" si="1"/>
        <v>39</v>
      </c>
      <c r="K44" s="3">
        <v>0.90275285634840141</v>
      </c>
      <c r="L44" s="3">
        <v>0.28788860891547191</v>
      </c>
      <c r="P44" s="2">
        <f t="shared" si="2"/>
        <v>39</v>
      </c>
      <c r="Q44" s="3">
        <v>0.90780783970153789</v>
      </c>
      <c r="R44" s="3">
        <v>0.32634483448152529</v>
      </c>
      <c r="V44" s="2">
        <f t="shared" si="3"/>
        <v>39</v>
      </c>
      <c r="W44" s="3">
        <v>0.91161832847125224</v>
      </c>
      <c r="X44" s="3">
        <v>0.34493578754436272</v>
      </c>
    </row>
    <row r="45" spans="4:24" x14ac:dyDescent="0.25">
      <c r="D45" s="2">
        <f t="shared" si="0"/>
        <v>40</v>
      </c>
      <c r="E45" s="3">
        <v>0.89868060867510258</v>
      </c>
      <c r="F45" s="3">
        <v>0.2955355754351664</v>
      </c>
      <c r="J45" s="2">
        <f t="shared" si="1"/>
        <v>40</v>
      </c>
      <c r="K45" s="3">
        <v>0.90424087965074074</v>
      </c>
      <c r="L45" s="3">
        <v>0.26955396843156171</v>
      </c>
      <c r="P45" s="2">
        <f t="shared" si="2"/>
        <v>40</v>
      </c>
      <c r="Q45" s="3">
        <v>0.90882122626077899</v>
      </c>
      <c r="R45" s="3">
        <v>0.32048463042837422</v>
      </c>
      <c r="V45" s="2">
        <f t="shared" si="3"/>
        <v>40</v>
      </c>
      <c r="W45" s="3">
        <v>0.91172492790692494</v>
      </c>
      <c r="X45" s="3">
        <v>0.36893137751882737</v>
      </c>
    </row>
    <row r="46" spans="4:24" x14ac:dyDescent="0.25">
      <c r="D46" s="2">
        <f t="shared" si="0"/>
        <v>41</v>
      </c>
      <c r="E46" s="3">
        <v>0.8972407049592771</v>
      </c>
      <c r="F46" s="3">
        <v>0.29630157871071189</v>
      </c>
      <c r="J46" s="2">
        <f t="shared" si="1"/>
        <v>41</v>
      </c>
      <c r="K46" s="3">
        <v>0.90087824935070937</v>
      </c>
      <c r="L46" s="3">
        <v>0.32634766791146808</v>
      </c>
      <c r="P46" s="2">
        <f t="shared" si="2"/>
        <v>41</v>
      </c>
      <c r="Q46" s="3">
        <v>0.90460452488302978</v>
      </c>
      <c r="R46" s="3">
        <v>0.31959327377859481</v>
      </c>
      <c r="V46" s="2">
        <f t="shared" si="3"/>
        <v>41</v>
      </c>
      <c r="W46" s="3">
        <v>0.90921275604493956</v>
      </c>
      <c r="X46" s="3">
        <v>0.37105015657727369</v>
      </c>
    </row>
    <row r="47" spans="4:24" x14ac:dyDescent="0.25">
      <c r="D47" s="2">
        <f t="shared" si="0"/>
        <v>42</v>
      </c>
      <c r="E47" s="3">
        <v>0.89636894537575762</v>
      </c>
      <c r="F47" s="3">
        <v>0.28803455368732878</v>
      </c>
      <c r="J47" s="2">
        <f t="shared" si="1"/>
        <v>42</v>
      </c>
      <c r="K47" s="3">
        <v>0.9010084663796778</v>
      </c>
      <c r="L47" s="3">
        <v>0.35511010994512437</v>
      </c>
      <c r="P47" s="2">
        <f t="shared" si="2"/>
        <v>42</v>
      </c>
      <c r="Q47" s="3">
        <v>0.90484529705829164</v>
      </c>
      <c r="R47" s="3">
        <v>0.34590476000107417</v>
      </c>
      <c r="V47" s="2">
        <f t="shared" si="3"/>
        <v>42</v>
      </c>
      <c r="W47" s="3">
        <v>0.91164001452526378</v>
      </c>
      <c r="X47" s="3">
        <v>0.35249554353093832</v>
      </c>
    </row>
    <row r="48" spans="4:24" x14ac:dyDescent="0.25">
      <c r="D48" s="2">
        <f t="shared" si="0"/>
        <v>43</v>
      </c>
      <c r="E48" s="3">
        <v>0.89741687384364055</v>
      </c>
      <c r="F48" s="3">
        <v>0.27738225896947333</v>
      </c>
      <c r="J48" s="2">
        <f t="shared" si="1"/>
        <v>43</v>
      </c>
      <c r="K48" s="3">
        <v>0.90153545685927039</v>
      </c>
      <c r="L48" s="3">
        <v>0.29721134470575811</v>
      </c>
      <c r="P48" s="2">
        <f t="shared" si="2"/>
        <v>43</v>
      </c>
      <c r="Q48" s="3">
        <v>0.90604040458777069</v>
      </c>
      <c r="R48" s="3">
        <v>0.34417727260539488</v>
      </c>
      <c r="V48" s="2">
        <f t="shared" si="3"/>
        <v>43</v>
      </c>
      <c r="W48" s="3">
        <v>0.91055669512409243</v>
      </c>
      <c r="X48" s="3">
        <v>0.3706951219811524</v>
      </c>
    </row>
    <row r="49" spans="4:24" x14ac:dyDescent="0.25">
      <c r="D49" s="2">
        <f t="shared" si="0"/>
        <v>44</v>
      </c>
      <c r="E49" s="3">
        <v>0.89678795556632096</v>
      </c>
      <c r="F49" s="3">
        <v>0.29174972745231442</v>
      </c>
      <c r="J49" s="2">
        <f t="shared" si="1"/>
        <v>44</v>
      </c>
      <c r="K49" s="3">
        <v>0.90465576734145303</v>
      </c>
      <c r="L49" s="3">
        <v>0.30534838695498412</v>
      </c>
      <c r="P49" s="2">
        <f t="shared" si="2"/>
        <v>44</v>
      </c>
      <c r="Q49" s="3">
        <v>0.90681820918125555</v>
      </c>
      <c r="R49" s="3">
        <v>0.30829801070136592</v>
      </c>
      <c r="V49" s="2">
        <f t="shared" si="3"/>
        <v>44</v>
      </c>
      <c r="W49" s="3">
        <v>0.91281040199218588</v>
      </c>
      <c r="X49" s="3">
        <v>0.34367331656116329</v>
      </c>
    </row>
    <row r="50" spans="4:24" x14ac:dyDescent="0.25">
      <c r="D50" s="2">
        <f t="shared" si="0"/>
        <v>45</v>
      </c>
      <c r="E50" s="3">
        <v>0.89960884324946866</v>
      </c>
      <c r="F50" s="3">
        <v>0.25334832780984762</v>
      </c>
      <c r="J50" s="2">
        <f t="shared" si="1"/>
        <v>45</v>
      </c>
      <c r="K50" s="3">
        <v>0.90295710251354122</v>
      </c>
      <c r="L50" s="3">
        <v>0.28706688221118237</v>
      </c>
      <c r="P50" s="2">
        <f t="shared" si="2"/>
        <v>45</v>
      </c>
      <c r="Q50" s="3">
        <v>0.90396337711884267</v>
      </c>
      <c r="R50" s="3">
        <v>0.32269804555968251</v>
      </c>
      <c r="V50" s="2">
        <f t="shared" si="3"/>
        <v>45</v>
      </c>
      <c r="W50" s="3">
        <v>0.91011136158225225</v>
      </c>
      <c r="X50" s="3">
        <v>0.34806672372107561</v>
      </c>
    </row>
    <row r="51" spans="4:24" x14ac:dyDescent="0.25">
      <c r="D51" s="2">
        <f t="shared" si="0"/>
        <v>46</v>
      </c>
      <c r="E51" s="3">
        <v>0.89752875623585315</v>
      </c>
      <c r="F51" s="3">
        <v>0.2936027574149862</v>
      </c>
      <c r="J51" s="2">
        <f t="shared" si="1"/>
        <v>46</v>
      </c>
      <c r="K51" s="3">
        <v>0.90285775202878771</v>
      </c>
      <c r="L51" s="3">
        <v>0.2922365867369292</v>
      </c>
      <c r="P51" s="2">
        <f t="shared" si="2"/>
        <v>46</v>
      </c>
      <c r="Q51" s="3">
        <v>0.90693023941997919</v>
      </c>
      <c r="R51" s="3">
        <v>0.33961824834053139</v>
      </c>
      <c r="V51" s="2">
        <f t="shared" si="3"/>
        <v>46</v>
      </c>
      <c r="W51" s="3">
        <v>0.90961158443673784</v>
      </c>
      <c r="X51" s="3">
        <v>0.38037184952708958</v>
      </c>
    </row>
    <row r="52" spans="4:24" x14ac:dyDescent="0.25">
      <c r="D52" s="2">
        <f t="shared" si="0"/>
        <v>47</v>
      </c>
      <c r="E52" s="3">
        <v>0.89871889367819091</v>
      </c>
      <c r="F52" s="3">
        <v>0.24065257239927429</v>
      </c>
      <c r="J52" s="2">
        <f t="shared" si="1"/>
        <v>47</v>
      </c>
      <c r="K52" s="3">
        <v>0.90401839283139052</v>
      </c>
      <c r="L52" s="3">
        <v>0.29445536099535119</v>
      </c>
      <c r="P52" s="2">
        <f t="shared" si="2"/>
        <v>47</v>
      </c>
      <c r="Q52" s="3">
        <v>0.90674446886971027</v>
      </c>
      <c r="R52" s="3">
        <v>0.35862164817227471</v>
      </c>
      <c r="V52" s="2">
        <f t="shared" si="3"/>
        <v>47</v>
      </c>
      <c r="W52" s="3">
        <v>0.91271058221917067</v>
      </c>
      <c r="X52" s="3">
        <v>0.34551653518771602</v>
      </c>
    </row>
    <row r="53" spans="4:24" x14ac:dyDescent="0.25">
      <c r="D53" s="2">
        <f t="shared" si="0"/>
        <v>48</v>
      </c>
      <c r="E53" s="3">
        <v>0.89953641535628537</v>
      </c>
      <c r="F53" s="3">
        <v>0.2492218319333441</v>
      </c>
      <c r="J53" s="2">
        <f t="shared" si="1"/>
        <v>48</v>
      </c>
      <c r="K53" s="3">
        <v>0.90110899477790185</v>
      </c>
      <c r="L53" s="3">
        <v>0.33887728697039732</v>
      </c>
      <c r="P53" s="2">
        <f t="shared" si="2"/>
        <v>48</v>
      </c>
      <c r="Q53" s="3">
        <v>0.90503412311777087</v>
      </c>
      <c r="R53" s="3">
        <v>0.36070908551586822</v>
      </c>
      <c r="V53" s="2">
        <f t="shared" si="3"/>
        <v>48</v>
      </c>
      <c r="W53" s="3">
        <v>0.90971828708205449</v>
      </c>
      <c r="X53" s="3">
        <v>0.37805016856775958</v>
      </c>
    </row>
    <row r="54" spans="4:24" x14ac:dyDescent="0.25">
      <c r="D54" s="2">
        <f t="shared" si="0"/>
        <v>49</v>
      </c>
      <c r="E54" s="3">
        <v>0.89810189952562303</v>
      </c>
      <c r="F54" s="3">
        <v>0.28298325700822508</v>
      </c>
      <c r="J54" s="2">
        <f t="shared" si="1"/>
        <v>49</v>
      </c>
      <c r="K54" s="3">
        <v>0.89992865201698835</v>
      </c>
      <c r="L54" s="3">
        <v>0.33014576971993442</v>
      </c>
      <c r="P54" s="2">
        <f t="shared" si="2"/>
        <v>49</v>
      </c>
      <c r="Q54" s="3">
        <v>0.9062280592663311</v>
      </c>
      <c r="R54" s="3">
        <v>0.35826711604088057</v>
      </c>
      <c r="V54" s="2">
        <f t="shared" si="3"/>
        <v>49</v>
      </c>
      <c r="W54" s="3">
        <v>0.91114452363446241</v>
      </c>
      <c r="X54" s="3">
        <v>0.33137099620465438</v>
      </c>
    </row>
    <row r="55" spans="4:24" x14ac:dyDescent="0.25">
      <c r="D55" s="2">
        <f t="shared" si="0"/>
        <v>50</v>
      </c>
      <c r="E55" s="3">
        <v>0.89890230050206288</v>
      </c>
      <c r="F55" s="3">
        <v>0.26993216906255901</v>
      </c>
      <c r="J55" s="2">
        <f t="shared" si="1"/>
        <v>50</v>
      </c>
      <c r="K55" s="3">
        <v>0.90409466463416577</v>
      </c>
      <c r="L55" s="3">
        <v>0.31049660225793307</v>
      </c>
      <c r="P55" s="2">
        <f t="shared" si="2"/>
        <v>50</v>
      </c>
      <c r="Q55" s="3">
        <v>0.904524870314658</v>
      </c>
      <c r="R55" s="3">
        <v>0.32981012043012192</v>
      </c>
      <c r="V55" s="2">
        <f t="shared" si="3"/>
        <v>50</v>
      </c>
      <c r="W55" s="3">
        <v>0.90683543225806162</v>
      </c>
      <c r="X55" s="3">
        <v>0.38338232660787619</v>
      </c>
    </row>
    <row r="57" spans="4:24" x14ac:dyDescent="0.25">
      <c r="D57" s="2" t="s">
        <v>2</v>
      </c>
      <c r="E57" s="3">
        <f>AVERAGE(E6:E55)</f>
        <v>0.89778033710939609</v>
      </c>
      <c r="F57" s="3">
        <f>AVERAGE(F6:F55)</f>
        <v>0.27573117297695088</v>
      </c>
      <c r="J57" s="2" t="s">
        <v>2</v>
      </c>
      <c r="K57" s="3">
        <f>AVERAGE(K6:K55)</f>
        <v>0.90294932211901668</v>
      </c>
      <c r="L57" s="3">
        <f>AVERAGE(L6:L55)</f>
        <v>0.30954214000548008</v>
      </c>
      <c r="P57" s="2" t="s">
        <v>2</v>
      </c>
      <c r="Q57" s="3">
        <f>AVERAGE(Q6:Q25)</f>
        <v>0.90616162503237396</v>
      </c>
      <c r="R57" s="3">
        <f>AVERAGE(R6:R25)</f>
        <v>0.31947718992948237</v>
      </c>
      <c r="V57" s="2" t="s">
        <v>2</v>
      </c>
      <c r="W57" s="3">
        <f>AVERAGE(W6:W55)</f>
        <v>0.91039084914919988</v>
      </c>
      <c r="X57" s="3">
        <f>AVERAGE(X6:X55)</f>
        <v>0.36220350431140796</v>
      </c>
    </row>
    <row r="58" spans="4:24" x14ac:dyDescent="0.25">
      <c r="D58" s="2" t="s">
        <v>3</v>
      </c>
      <c r="E58" s="3">
        <f>_xlfn.STDEV.S(E6:E55)</f>
        <v>1.2790642900937243E-3</v>
      </c>
      <c r="F58" s="3">
        <f>_xlfn.STDEV.S(F6:F55)</f>
        <v>2.1958553241676768E-2</v>
      </c>
      <c r="J58" s="2" t="s">
        <v>3</v>
      </c>
      <c r="K58" s="3">
        <f>_xlfn.STDEV.S(K6:K55)</f>
        <v>1.7100346597826767E-3</v>
      </c>
      <c r="L58" s="3">
        <f>_xlfn.STDEV.S(L6:L55)</f>
        <v>2.3363627775253883E-2</v>
      </c>
      <c r="P58" s="2" t="s">
        <v>3</v>
      </c>
      <c r="Q58" s="3">
        <f>_xlfn.STDEV.S(Q6:Q25)</f>
        <v>1.2600869058769768E-3</v>
      </c>
      <c r="R58" s="3">
        <f>_xlfn.STDEV.S(R6:R25)</f>
        <v>2.2877079311163302E-2</v>
      </c>
      <c r="V58" s="2" t="s">
        <v>3</v>
      </c>
      <c r="W58" s="3">
        <f>_xlfn.STDEV.S(W6:W55)</f>
        <v>1.6674408854695235E-3</v>
      </c>
      <c r="X58" s="3">
        <f>_xlfn.STDEV.S(X6:X55)</f>
        <v>1.9695268616722442E-2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P41"/>
  <sheetViews>
    <sheetView workbookViewId="0">
      <selection activeCell="W47" sqref="W47"/>
    </sheetView>
  </sheetViews>
  <sheetFormatPr defaultRowHeight="15" x14ac:dyDescent="0.25"/>
  <cols>
    <col min="2" max="2" width="20.85546875" customWidth="1"/>
    <col min="3" max="3" width="11.140625" customWidth="1"/>
    <col min="4" max="4" width="10.85546875" customWidth="1"/>
    <col min="15" max="15" width="14.28515625" customWidth="1"/>
  </cols>
  <sheetData>
    <row r="4" spans="2:16" x14ac:dyDescent="0.25">
      <c r="B4" s="2" t="s">
        <v>7</v>
      </c>
      <c r="C4" s="2" t="s">
        <v>23</v>
      </c>
      <c r="D4" s="2" t="s">
        <v>24</v>
      </c>
      <c r="K4" s="2" t="s">
        <v>7</v>
      </c>
      <c r="L4" s="2" t="s">
        <v>43</v>
      </c>
      <c r="O4" s="2" t="s">
        <v>7</v>
      </c>
      <c r="P4" s="2" t="s">
        <v>73</v>
      </c>
    </row>
    <row r="5" spans="2:16" x14ac:dyDescent="0.25">
      <c r="B5" s="4" t="s">
        <v>8</v>
      </c>
      <c r="C5" s="3">
        <v>4.3850387692462779E-2</v>
      </c>
      <c r="D5" s="3">
        <v>3.5839162327457257E-2</v>
      </c>
      <c r="K5" s="7" t="s">
        <v>28</v>
      </c>
      <c r="L5" s="3">
        <v>5.9488779016518112E-2</v>
      </c>
      <c r="O5" s="7" t="s">
        <v>69</v>
      </c>
      <c r="P5" s="3">
        <v>2.2377191968737369E-2</v>
      </c>
    </row>
    <row r="6" spans="2:16" x14ac:dyDescent="0.25">
      <c r="B6" s="4" t="s">
        <v>9</v>
      </c>
      <c r="C6" s="3">
        <v>4.8375914374439499E-2</v>
      </c>
      <c r="D6" s="3">
        <v>4.6028263868876838E-2</v>
      </c>
      <c r="K6" s="7" t="s">
        <v>29</v>
      </c>
      <c r="L6" s="3">
        <v>5.5610458398160881E-2</v>
      </c>
      <c r="O6" s="7" t="s">
        <v>58</v>
      </c>
      <c r="P6" s="3">
        <v>2.375557566817026E-2</v>
      </c>
    </row>
    <row r="7" spans="2:16" x14ac:dyDescent="0.25">
      <c r="B7" s="4" t="s">
        <v>10</v>
      </c>
      <c r="C7" s="3">
        <v>6.2550462760205428E-2</v>
      </c>
      <c r="D7" s="3">
        <v>5.648927896701416E-2</v>
      </c>
      <c r="K7" s="7" t="s">
        <v>30</v>
      </c>
      <c r="L7" s="3">
        <v>6.0403418239606731E-2</v>
      </c>
      <c r="O7" s="7" t="s">
        <v>46</v>
      </c>
      <c r="P7" s="3">
        <v>2.3824907865479202E-2</v>
      </c>
    </row>
    <row r="8" spans="2:16" x14ac:dyDescent="0.25">
      <c r="B8" s="4" t="s">
        <v>11</v>
      </c>
      <c r="C8" s="3">
        <v>0.155981436103907</v>
      </c>
      <c r="D8" s="3">
        <v>0.14226226591072541</v>
      </c>
      <c r="K8" s="7" t="s">
        <v>31</v>
      </c>
      <c r="L8" s="3">
        <v>5.6977217942613061E-2</v>
      </c>
      <c r="O8" s="7" t="s">
        <v>70</v>
      </c>
      <c r="P8" s="3">
        <v>2.4356895550089741E-2</v>
      </c>
    </row>
    <row r="9" spans="2:16" x14ac:dyDescent="0.25">
      <c r="B9" s="4" t="s">
        <v>12</v>
      </c>
      <c r="C9" s="3">
        <v>0.1791212629457192</v>
      </c>
      <c r="D9" s="3">
        <v>0.1490336878608037</v>
      </c>
      <c r="K9" s="7" t="s">
        <v>32</v>
      </c>
      <c r="L9" s="3">
        <v>8.4446572990212146E-2</v>
      </c>
      <c r="O9" s="7" t="s">
        <v>72</v>
      </c>
      <c r="P9" s="3">
        <v>2.445309939757288E-2</v>
      </c>
    </row>
    <row r="10" spans="2:16" x14ac:dyDescent="0.25">
      <c r="B10" s="4" t="s">
        <v>13</v>
      </c>
      <c r="C10" s="3">
        <v>3.7001503164562861E-2</v>
      </c>
      <c r="D10" s="3">
        <v>3.2349520015093267E-2</v>
      </c>
      <c r="K10" s="7" t="s">
        <v>33</v>
      </c>
      <c r="L10" s="3">
        <v>5.8505404289282373E-2</v>
      </c>
      <c r="O10" s="7" t="s">
        <v>71</v>
      </c>
      <c r="P10" s="3">
        <v>2.4808400569703098E-2</v>
      </c>
    </row>
    <row r="11" spans="2:16" x14ac:dyDescent="0.25">
      <c r="B11" s="4" t="s">
        <v>14</v>
      </c>
      <c r="C11" s="3">
        <v>4.2946995137835647E-2</v>
      </c>
      <c r="D11" s="3">
        <v>3.687169044121625E-2</v>
      </c>
      <c r="K11" s="7" t="s">
        <v>34</v>
      </c>
      <c r="L11" s="3">
        <v>0.14193218019964149</v>
      </c>
      <c r="O11" s="7" t="s">
        <v>47</v>
      </c>
      <c r="P11" s="3">
        <v>2.5124802420021169E-2</v>
      </c>
    </row>
    <row r="12" spans="2:16" x14ac:dyDescent="0.25">
      <c r="B12" s="4" t="s">
        <v>15</v>
      </c>
      <c r="C12" s="3">
        <v>6.6431640212698526E-2</v>
      </c>
      <c r="D12" s="3">
        <v>5.4983417701167853E-2</v>
      </c>
      <c r="K12" s="7" t="s">
        <v>35</v>
      </c>
      <c r="L12" s="3">
        <v>7.4003184006731851E-2</v>
      </c>
      <c r="O12" s="7" t="s">
        <v>59</v>
      </c>
      <c r="P12" s="3">
        <v>2.8114733218078121E-2</v>
      </c>
    </row>
    <row r="13" spans="2:16" x14ac:dyDescent="0.25">
      <c r="B13" s="4" t="s">
        <v>16</v>
      </c>
      <c r="C13" s="3">
        <v>7.6523702224753007E-2</v>
      </c>
      <c r="D13" s="3">
        <v>0.1000667937501426</v>
      </c>
      <c r="K13" s="7" t="s">
        <v>36</v>
      </c>
      <c r="L13" s="3">
        <v>8.0522762607605408E-2</v>
      </c>
      <c r="O13" s="7" t="s">
        <v>57</v>
      </c>
      <c r="P13" s="3">
        <v>2.9238202951780569E-2</v>
      </c>
    </row>
    <row r="14" spans="2:16" x14ac:dyDescent="0.25">
      <c r="B14" s="4" t="s">
        <v>17</v>
      </c>
      <c r="C14" s="3">
        <v>5.4091815944955622E-2</v>
      </c>
      <c r="D14" s="3">
        <v>6.5429969665446008E-2</v>
      </c>
      <c r="K14" s="7" t="s">
        <v>37</v>
      </c>
      <c r="L14" s="3">
        <v>6.6036902776701212E-2</v>
      </c>
      <c r="O14" s="7" t="s">
        <v>68</v>
      </c>
      <c r="P14" s="3">
        <v>2.9273473008173921E-2</v>
      </c>
    </row>
    <row r="15" spans="2:16" x14ac:dyDescent="0.25">
      <c r="B15" s="4" t="s">
        <v>18</v>
      </c>
      <c r="C15" s="3">
        <v>4.3936896682384548E-2</v>
      </c>
      <c r="D15" s="3">
        <v>3.822299269172038E-2</v>
      </c>
      <c r="K15" s="7" t="s">
        <v>38</v>
      </c>
      <c r="L15" s="3">
        <v>5.8791167678081721E-2</v>
      </c>
      <c r="O15" s="7" t="s">
        <v>45</v>
      </c>
      <c r="P15" s="3">
        <v>2.9884759031708862E-2</v>
      </c>
    </row>
    <row r="16" spans="2:16" x14ac:dyDescent="0.25">
      <c r="B16" s="4" t="s">
        <v>19</v>
      </c>
      <c r="C16" s="3">
        <v>4.1733374190104991E-2</v>
      </c>
      <c r="D16" s="3">
        <v>4.1288856968829481E-2</v>
      </c>
      <c r="K16" s="7" t="s">
        <v>39</v>
      </c>
      <c r="L16" s="3">
        <v>9.0149449777747734E-2</v>
      </c>
      <c r="O16" s="7" t="s">
        <v>50</v>
      </c>
      <c r="P16" s="3">
        <v>3.0391294166711911E-2</v>
      </c>
    </row>
    <row r="17" spans="2:16" x14ac:dyDescent="0.25">
      <c r="B17" s="4" t="s">
        <v>20</v>
      </c>
      <c r="C17" s="3">
        <v>5.1182090257766648E-2</v>
      </c>
      <c r="D17" s="3">
        <v>0.1120867822496293</v>
      </c>
      <c r="K17" s="7" t="s">
        <v>40</v>
      </c>
      <c r="L17" s="3">
        <v>5.4494961146640888E-2</v>
      </c>
      <c r="O17" s="7" t="s">
        <v>54</v>
      </c>
      <c r="P17" s="3">
        <v>3.1719670398973457E-2</v>
      </c>
    </row>
    <row r="18" spans="2:16" x14ac:dyDescent="0.25">
      <c r="B18" s="5" t="s">
        <v>21</v>
      </c>
      <c r="C18" s="3">
        <v>4.2623225262278207E-2</v>
      </c>
      <c r="D18" s="3">
        <v>4.0743905516229313E-2</v>
      </c>
      <c r="K18" s="7" t="s">
        <v>41</v>
      </c>
      <c r="L18" s="3">
        <v>5.8637540930456387E-2</v>
      </c>
      <c r="O18" s="7" t="s">
        <v>67</v>
      </c>
      <c r="P18" s="3">
        <v>3.233685814745544E-2</v>
      </c>
    </row>
    <row r="19" spans="2:16" x14ac:dyDescent="0.25">
      <c r="B19" s="4" t="s">
        <v>22</v>
      </c>
      <c r="C19" s="3">
        <v>5.3649293045925972E-2</v>
      </c>
      <c r="D19" s="3">
        <v>4.8303412065648192E-2</v>
      </c>
      <c r="O19" s="7" t="s">
        <v>65</v>
      </c>
      <c r="P19" s="3">
        <v>3.249785324545075E-2</v>
      </c>
    </row>
    <row r="20" spans="2:16" x14ac:dyDescent="0.25">
      <c r="D20" s="6"/>
      <c r="O20" s="7" t="s">
        <v>62</v>
      </c>
      <c r="P20" s="3">
        <v>3.2769620441415959E-2</v>
      </c>
    </row>
    <row r="21" spans="2:16" x14ac:dyDescent="0.25">
      <c r="O21" s="7" t="s">
        <v>60</v>
      </c>
      <c r="P21" s="3">
        <v>3.2802825469900987E-2</v>
      </c>
    </row>
    <row r="22" spans="2:16" x14ac:dyDescent="0.25">
      <c r="O22" s="7" t="s">
        <v>66</v>
      </c>
      <c r="P22" s="3">
        <v>3.4122402443515901E-2</v>
      </c>
    </row>
    <row r="23" spans="2:16" x14ac:dyDescent="0.25">
      <c r="O23" s="7" t="s">
        <v>64</v>
      </c>
      <c r="P23" s="3">
        <v>3.4158862614362233E-2</v>
      </c>
    </row>
    <row r="24" spans="2:16" x14ac:dyDescent="0.25">
      <c r="O24" s="7" t="s">
        <v>61</v>
      </c>
      <c r="P24" s="3">
        <v>3.5332766189128867E-2</v>
      </c>
    </row>
    <row r="25" spans="2:16" x14ac:dyDescent="0.25">
      <c r="O25" s="7" t="s">
        <v>55</v>
      </c>
      <c r="P25" s="3">
        <v>3.552658184529725E-2</v>
      </c>
    </row>
    <row r="26" spans="2:16" x14ac:dyDescent="0.25">
      <c r="B26" s="2" t="s">
        <v>7</v>
      </c>
      <c r="C26" s="2" t="s">
        <v>24</v>
      </c>
      <c r="O26" s="7" t="s">
        <v>53</v>
      </c>
      <c r="P26" s="3">
        <v>3.7627777925334213E-2</v>
      </c>
    </row>
    <row r="27" spans="2:16" x14ac:dyDescent="0.25">
      <c r="B27" s="4" t="s">
        <v>13</v>
      </c>
      <c r="C27" s="3">
        <v>3.2349520015093267E-2</v>
      </c>
      <c r="O27" s="7" t="s">
        <v>48</v>
      </c>
      <c r="P27" s="3">
        <v>3.7911740382224272E-2</v>
      </c>
    </row>
    <row r="28" spans="2:16" x14ac:dyDescent="0.25">
      <c r="B28" s="4" t="s">
        <v>8</v>
      </c>
      <c r="C28" s="3">
        <v>3.5839162327457257E-2</v>
      </c>
      <c r="O28" s="7" t="s">
        <v>63</v>
      </c>
      <c r="P28" s="3">
        <v>4.1648676160846762E-2</v>
      </c>
    </row>
    <row r="29" spans="2:16" x14ac:dyDescent="0.25">
      <c r="B29" s="4" t="s">
        <v>14</v>
      </c>
      <c r="C29" s="3">
        <v>3.687169044121625E-2</v>
      </c>
      <c r="O29" s="7" t="s">
        <v>52</v>
      </c>
      <c r="P29" s="3">
        <v>4.2689366802183007E-2</v>
      </c>
    </row>
    <row r="30" spans="2:16" x14ac:dyDescent="0.25">
      <c r="B30" s="4" t="s">
        <v>18</v>
      </c>
      <c r="C30" s="3">
        <v>3.822299269172038E-2</v>
      </c>
      <c r="O30" s="7" t="s">
        <v>49</v>
      </c>
      <c r="P30" s="3">
        <v>4.8602959606299692E-2</v>
      </c>
    </row>
    <row r="31" spans="2:16" x14ac:dyDescent="0.25">
      <c r="B31" s="5" t="s">
        <v>21</v>
      </c>
      <c r="C31" s="3">
        <v>4.0743905516229313E-2</v>
      </c>
      <c r="O31" s="7" t="s">
        <v>51</v>
      </c>
      <c r="P31" s="3">
        <v>7.6725442774408584E-2</v>
      </c>
    </row>
    <row r="32" spans="2:16" x14ac:dyDescent="0.25">
      <c r="B32" s="4" t="s">
        <v>19</v>
      </c>
      <c r="C32" s="3">
        <v>4.1288856968829481E-2</v>
      </c>
      <c r="O32" s="7" t="s">
        <v>56</v>
      </c>
      <c r="P32" s="3">
        <v>9.7923259736975521E-2</v>
      </c>
    </row>
    <row r="33" spans="2:3" x14ac:dyDescent="0.25">
      <c r="B33" s="4" t="s">
        <v>9</v>
      </c>
      <c r="C33" s="3">
        <v>4.6028263868876838E-2</v>
      </c>
    </row>
    <row r="34" spans="2:3" x14ac:dyDescent="0.25">
      <c r="B34" s="4" t="s">
        <v>22</v>
      </c>
      <c r="C34" s="3">
        <v>4.8303412065648192E-2</v>
      </c>
    </row>
    <row r="35" spans="2:3" x14ac:dyDescent="0.25">
      <c r="B35" s="4" t="s">
        <v>15</v>
      </c>
      <c r="C35" s="3">
        <v>5.4983417701167853E-2</v>
      </c>
    </row>
    <row r="36" spans="2:3" x14ac:dyDescent="0.25">
      <c r="B36" s="4" t="s">
        <v>10</v>
      </c>
      <c r="C36" s="3">
        <v>5.648927896701416E-2</v>
      </c>
    </row>
    <row r="37" spans="2:3" x14ac:dyDescent="0.25">
      <c r="B37" s="4" t="s">
        <v>17</v>
      </c>
      <c r="C37" s="3">
        <v>6.5429969665446008E-2</v>
      </c>
    </row>
    <row r="38" spans="2:3" x14ac:dyDescent="0.25">
      <c r="B38" s="4" t="s">
        <v>16</v>
      </c>
      <c r="C38" s="3">
        <v>0.1000667937501426</v>
      </c>
    </row>
    <row r="39" spans="2:3" x14ac:dyDescent="0.25">
      <c r="B39" s="4" t="s">
        <v>20</v>
      </c>
      <c r="C39" s="3">
        <v>0.1120867822496293</v>
      </c>
    </row>
    <row r="40" spans="2:3" x14ac:dyDescent="0.25">
      <c r="B40" s="4" t="s">
        <v>11</v>
      </c>
      <c r="C40" s="3">
        <v>0.14226226591072541</v>
      </c>
    </row>
    <row r="41" spans="2:3" x14ac:dyDescent="0.25">
      <c r="B41" s="4" t="s">
        <v>12</v>
      </c>
      <c r="C41" s="3">
        <v>0.1490336878608037</v>
      </c>
    </row>
  </sheetData>
  <sortState ref="O5:P32">
    <sortCondition ref="P5:P32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error (soc-eco)</vt:lpstr>
      <vt:lpstr>error (soc-eco + dem)</vt:lpstr>
      <vt:lpstr>error (dem)</vt:lpstr>
      <vt:lpstr>signif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2025-11-05T09:26:39Z</dcterms:modified>
</cp:coreProperties>
</file>